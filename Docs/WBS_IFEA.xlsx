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Codelab\Desktop\Unity\TeamProject_IFEA\Docs\"/>
    </mc:Choice>
  </mc:AlternateContent>
  <xr:revisionPtr revIDLastSave="0" documentId="13_ncr:1_{7F92C0DB-4536-413C-A6A5-D63F4D540686}" xr6:coauthVersionLast="47" xr6:coauthVersionMax="47" xr10:uidLastSave="{00000000-0000-0000-0000-000000000000}"/>
  <bookViews>
    <workbookView xWindow="19095" yWindow="0" windowWidth="19410" windowHeight="20985" xr2:uid="{00000000-000D-0000-FFFF-FFFF00000000}"/>
  </bookViews>
  <sheets>
    <sheet name="프로젝트WBS" sheetId="1" r:id="rId1"/>
    <sheet name="휴일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2" i="1" l="1"/>
  <c r="P32" i="1"/>
  <c r="R32" i="1" s="1"/>
  <c r="T32" i="1" s="1"/>
  <c r="O33" i="1"/>
  <c r="P33" i="1"/>
  <c r="R33" i="1" s="1"/>
  <c r="T33" i="1" s="1"/>
  <c r="O34" i="1"/>
  <c r="P34" i="1"/>
  <c r="R34" i="1" s="1"/>
  <c r="T34" i="1" s="1"/>
  <c r="O35" i="1"/>
  <c r="P35" i="1"/>
  <c r="R35" i="1" s="1"/>
  <c r="T35" i="1" s="1"/>
  <c r="O36" i="1"/>
  <c r="P36" i="1"/>
  <c r="R36" i="1" s="1"/>
  <c r="T36" i="1" s="1"/>
  <c r="O37" i="1"/>
  <c r="P37" i="1"/>
  <c r="R37" i="1" s="1"/>
  <c r="T37" i="1" s="1"/>
  <c r="O38" i="1"/>
  <c r="P38" i="1"/>
  <c r="R38" i="1" s="1"/>
  <c r="T38" i="1" s="1"/>
  <c r="O39" i="1"/>
  <c r="P39" i="1"/>
  <c r="R39" i="1" s="1"/>
  <c r="T39" i="1" s="1"/>
  <c r="O40" i="1"/>
  <c r="P40" i="1"/>
  <c r="R40" i="1" s="1"/>
  <c r="T40" i="1" s="1"/>
  <c r="O41" i="1"/>
  <c r="P41" i="1"/>
  <c r="R41" i="1" s="1"/>
  <c r="T41" i="1" s="1"/>
  <c r="O42" i="1"/>
  <c r="P42" i="1"/>
  <c r="R42" i="1" s="1"/>
  <c r="T42" i="1" s="1"/>
  <c r="O43" i="1"/>
  <c r="P43" i="1"/>
  <c r="R43" i="1" s="1"/>
  <c r="T43" i="1" s="1"/>
  <c r="O44" i="1"/>
  <c r="P44" i="1"/>
  <c r="R44" i="1" s="1"/>
  <c r="T44" i="1" s="1"/>
  <c r="O45" i="1"/>
  <c r="P45" i="1"/>
  <c r="R45" i="1" s="1"/>
  <c r="T45" i="1" s="1"/>
  <c r="O46" i="1"/>
  <c r="P46" i="1"/>
  <c r="R46" i="1" s="1"/>
  <c r="S19" i="1"/>
  <c r="T19" i="1"/>
  <c r="U19" i="1"/>
  <c r="P56" i="1"/>
  <c r="R56" i="1" s="1"/>
  <c r="O56" i="1"/>
  <c r="P55" i="1"/>
  <c r="R55" i="1" s="1"/>
  <c r="O55" i="1"/>
  <c r="P54" i="1"/>
  <c r="R54" i="1" s="1"/>
  <c r="O54" i="1"/>
  <c r="P53" i="1"/>
  <c r="R53" i="1" s="1"/>
  <c r="O53" i="1"/>
  <c r="P52" i="1"/>
  <c r="R52" i="1" s="1"/>
  <c r="T52" i="1" s="1"/>
  <c r="P51" i="1"/>
  <c r="R51" i="1" s="1"/>
  <c r="O51" i="1"/>
  <c r="P50" i="1"/>
  <c r="R50" i="1" s="1"/>
  <c r="O50" i="1"/>
  <c r="P49" i="1"/>
  <c r="R49" i="1" s="1"/>
  <c r="O49" i="1"/>
  <c r="P48" i="1"/>
  <c r="R48" i="1" s="1"/>
  <c r="O48" i="1"/>
  <c r="P47" i="1"/>
  <c r="R47" i="1" s="1"/>
  <c r="O47" i="1"/>
  <c r="P31" i="1"/>
  <c r="R31" i="1" s="1"/>
  <c r="O31" i="1"/>
  <c r="P30" i="1"/>
  <c r="R30" i="1" s="1"/>
  <c r="O30" i="1"/>
  <c r="P29" i="1"/>
  <c r="R29" i="1" s="1"/>
  <c r="O29" i="1"/>
  <c r="P28" i="1"/>
  <c r="R28" i="1" s="1"/>
  <c r="O28" i="1"/>
  <c r="P27" i="1"/>
  <c r="R27" i="1" s="1"/>
  <c r="O27" i="1"/>
  <c r="P25" i="1"/>
  <c r="R25" i="1" s="1"/>
  <c r="O25" i="1"/>
  <c r="P22" i="1"/>
  <c r="R22" i="1" s="1"/>
  <c r="O22" i="1"/>
  <c r="P21" i="1"/>
  <c r="R21" i="1" s="1"/>
  <c r="O21" i="1"/>
  <c r="P20" i="1"/>
  <c r="R20" i="1" s="1"/>
  <c r="O20" i="1"/>
  <c r="P18" i="1"/>
  <c r="R18" i="1" s="1"/>
  <c r="O18" i="1"/>
  <c r="P17" i="1"/>
  <c r="R17" i="1" s="1"/>
  <c r="O17" i="1"/>
  <c r="P16" i="1"/>
  <c r="R16" i="1" s="1"/>
  <c r="O16" i="1"/>
  <c r="Q16" i="1" s="1"/>
  <c r="S16" i="1" s="1"/>
  <c r="O15" i="1"/>
  <c r="O14" i="1"/>
  <c r="O13" i="1"/>
  <c r="O12" i="1"/>
  <c r="P11" i="1"/>
  <c r="R11" i="1" s="1"/>
  <c r="O11" i="1"/>
  <c r="P10" i="1"/>
  <c r="R10" i="1" s="1"/>
  <c r="O10" i="1"/>
  <c r="P9" i="1"/>
  <c r="R9" i="1" s="1"/>
  <c r="O9" i="1"/>
  <c r="P8" i="1"/>
  <c r="O8" i="1"/>
  <c r="P7" i="1"/>
  <c r="O7" i="1"/>
  <c r="P6" i="1"/>
  <c r="O6" i="1"/>
  <c r="N5" i="1"/>
  <c r="M5" i="1"/>
  <c r="L5" i="1"/>
  <c r="K5" i="1"/>
  <c r="U32" i="1" l="1"/>
  <c r="Q32" i="1"/>
  <c r="S32" i="1" s="1"/>
  <c r="U33" i="1"/>
  <c r="Q33" i="1"/>
  <c r="S33" i="1" s="1"/>
  <c r="U34" i="1"/>
  <c r="Q34" i="1"/>
  <c r="S34" i="1" s="1"/>
  <c r="U35" i="1"/>
  <c r="Q35" i="1"/>
  <c r="S35" i="1" s="1"/>
  <c r="U36" i="1"/>
  <c r="Q36" i="1"/>
  <c r="S36" i="1" s="1"/>
  <c r="U37" i="1"/>
  <c r="Q37" i="1"/>
  <c r="S37" i="1" s="1"/>
  <c r="U38" i="1"/>
  <c r="Q38" i="1"/>
  <c r="S38" i="1" s="1"/>
  <c r="V38" i="1" s="1"/>
  <c r="U39" i="1"/>
  <c r="Q39" i="1"/>
  <c r="S39" i="1" s="1"/>
  <c r="U40" i="1"/>
  <c r="Q40" i="1"/>
  <c r="S40" i="1" s="1"/>
  <c r="U41" i="1"/>
  <c r="Q41" i="1"/>
  <c r="S41" i="1" s="1"/>
  <c r="U42" i="1"/>
  <c r="Q42" i="1"/>
  <c r="S42" i="1" s="1"/>
  <c r="U43" i="1"/>
  <c r="Q43" i="1"/>
  <c r="S43" i="1" s="1"/>
  <c r="U44" i="1"/>
  <c r="Q44" i="1"/>
  <c r="S44" i="1" s="1"/>
  <c r="U45" i="1"/>
  <c r="Q45" i="1"/>
  <c r="S45" i="1" s="1"/>
  <c r="V19" i="1"/>
  <c r="T54" i="1"/>
  <c r="T50" i="1"/>
  <c r="T56" i="1"/>
  <c r="T49" i="1"/>
  <c r="T29" i="1"/>
  <c r="T28" i="1"/>
  <c r="T27" i="1"/>
  <c r="T25" i="1"/>
  <c r="T22" i="1"/>
  <c r="T21" i="1"/>
  <c r="T20" i="1"/>
  <c r="T18" i="1"/>
  <c r="T17" i="1"/>
  <c r="R15" i="1"/>
  <c r="R14" i="1"/>
  <c r="R13" i="1"/>
  <c r="R12" i="1"/>
  <c r="T11" i="1"/>
  <c r="T10" i="1"/>
  <c r="T9" i="1"/>
  <c r="R8" i="1"/>
  <c r="R7" i="1"/>
  <c r="T55" i="1"/>
  <c r="T53" i="1"/>
  <c r="T51" i="1"/>
  <c r="T48" i="1"/>
  <c r="T47" i="1"/>
  <c r="T46" i="1"/>
  <c r="T31" i="1"/>
  <c r="T30" i="1"/>
  <c r="U56" i="1"/>
  <c r="Q56" i="1"/>
  <c r="S56" i="1" s="1"/>
  <c r="U55" i="1"/>
  <c r="Q55" i="1"/>
  <c r="S55" i="1" s="1"/>
  <c r="U54" i="1"/>
  <c r="Q54" i="1"/>
  <c r="S54" i="1" s="1"/>
  <c r="U53" i="1"/>
  <c r="Q53" i="1"/>
  <c r="S53" i="1" s="1"/>
  <c r="U52" i="1"/>
  <c r="Q52" i="1"/>
  <c r="S52" i="1" s="1"/>
  <c r="U51" i="1"/>
  <c r="Q51" i="1"/>
  <c r="S51" i="1" s="1"/>
  <c r="U50" i="1"/>
  <c r="Q50" i="1"/>
  <c r="S50" i="1" s="1"/>
  <c r="U49" i="1"/>
  <c r="Q49" i="1"/>
  <c r="S49" i="1" s="1"/>
  <c r="U48" i="1"/>
  <c r="Q48" i="1"/>
  <c r="S48" i="1" s="1"/>
  <c r="U47" i="1"/>
  <c r="Q47" i="1"/>
  <c r="S47" i="1" s="1"/>
  <c r="U46" i="1"/>
  <c r="Q46" i="1"/>
  <c r="S46" i="1" s="1"/>
  <c r="U31" i="1"/>
  <c r="Q31" i="1"/>
  <c r="S31" i="1" s="1"/>
  <c r="U30" i="1"/>
  <c r="Q30" i="1"/>
  <c r="S30" i="1" s="1"/>
  <c r="U29" i="1"/>
  <c r="Q29" i="1"/>
  <c r="S29" i="1" s="1"/>
  <c r="Q28" i="1"/>
  <c r="S28" i="1" s="1"/>
  <c r="U28" i="1"/>
  <c r="Q27" i="1"/>
  <c r="S27" i="1" s="1"/>
  <c r="U27" i="1"/>
  <c r="Q25" i="1"/>
  <c r="S25" i="1" s="1"/>
  <c r="U25" i="1"/>
  <c r="Q22" i="1"/>
  <c r="S22" i="1" s="1"/>
  <c r="U22" i="1"/>
  <c r="U21" i="1"/>
  <c r="Q21" i="1"/>
  <c r="S21" i="1" s="1"/>
  <c r="Q20" i="1"/>
  <c r="S20" i="1" s="1"/>
  <c r="U20" i="1"/>
  <c r="U18" i="1"/>
  <c r="Q18" i="1"/>
  <c r="S18" i="1" s="1"/>
  <c r="U17" i="1"/>
  <c r="Q17" i="1"/>
  <c r="S17" i="1" s="1"/>
  <c r="T16" i="1"/>
  <c r="U16" i="1"/>
  <c r="V16" i="1" s="1"/>
  <c r="S15" i="1"/>
  <c r="S14" i="1"/>
  <c r="S13" i="1"/>
  <c r="S12" i="1"/>
  <c r="U11" i="1"/>
  <c r="Q11" i="1"/>
  <c r="S11" i="1" s="1"/>
  <c r="U10" i="1"/>
  <c r="Q10" i="1"/>
  <c r="S10" i="1" s="1"/>
  <c r="U9" i="1"/>
  <c r="Q9" i="1"/>
  <c r="S9" i="1" s="1"/>
  <c r="Q8" i="1"/>
  <c r="S8" i="1" s="1"/>
  <c r="Q7" i="1"/>
  <c r="S7" i="1" s="1"/>
  <c r="P57" i="1"/>
  <c r="P5" i="1" s="1"/>
  <c r="R6" i="1"/>
  <c r="U6" i="1" s="1"/>
  <c r="O57" i="1"/>
  <c r="O5" i="1" s="1"/>
  <c r="Q6" i="1"/>
  <c r="V32" i="1" l="1"/>
  <c r="V33" i="1"/>
  <c r="V34" i="1"/>
  <c r="V35" i="1"/>
  <c r="V36" i="1"/>
  <c r="V37" i="1"/>
  <c r="V39" i="1"/>
  <c r="V40" i="1"/>
  <c r="V41" i="1"/>
  <c r="V42" i="1"/>
  <c r="V43" i="1"/>
  <c r="V44" i="1"/>
  <c r="V45" i="1"/>
  <c r="V28" i="1"/>
  <c r="V27" i="1"/>
  <c r="T14" i="1"/>
  <c r="U14" i="1"/>
  <c r="V14" i="1" s="1"/>
  <c r="T12" i="1"/>
  <c r="U12" i="1"/>
  <c r="V12" i="1" s="1"/>
  <c r="T8" i="1"/>
  <c r="U8" i="1"/>
  <c r="V8" i="1" s="1"/>
  <c r="T7" i="1"/>
  <c r="U7" i="1"/>
  <c r="V7" i="1" s="1"/>
  <c r="T15" i="1"/>
  <c r="U15" i="1"/>
  <c r="V15" i="1" s="1"/>
  <c r="T13" i="1"/>
  <c r="U13" i="1"/>
  <c r="V55" i="1"/>
  <c r="V49" i="1"/>
  <c r="V25" i="1"/>
  <c r="V20" i="1"/>
  <c r="V22" i="1"/>
  <c r="V18" i="1"/>
  <c r="V10" i="1"/>
  <c r="T6" i="1"/>
  <c r="R57" i="1"/>
  <c r="S6" i="1"/>
  <c r="V6" i="1" s="1"/>
  <c r="Q57" i="1"/>
  <c r="V52" i="1"/>
  <c r="V51" i="1"/>
  <c r="V50" i="1"/>
  <c r="V48" i="1"/>
  <c r="V47" i="1"/>
  <c r="V46" i="1"/>
  <c r="V31" i="1"/>
  <c r="V30" i="1"/>
  <c r="V29" i="1"/>
  <c r="V21" i="1"/>
  <c r="V17" i="1"/>
  <c r="V11" i="1"/>
  <c r="V9" i="1"/>
  <c r="V54" i="1"/>
  <c r="V53" i="1"/>
  <c r="V56" i="1"/>
  <c r="U5" i="1" l="1"/>
  <c r="U57" i="1" s="1"/>
  <c r="V13" i="1"/>
  <c r="T57" i="1"/>
  <c r="T5" i="1" s="1"/>
  <c r="R5" i="1"/>
  <c r="S57" i="1"/>
  <c r="S5" i="1" s="1"/>
  <c r="Q5" i="1"/>
  <c r="U1" i="1" l="1"/>
  <c r="V1" i="1" s="1"/>
  <c r="V57" i="1"/>
  <c r="V5" i="1"/>
</calcChain>
</file>

<file path=xl/sharedStrings.xml><?xml version="1.0" encoding="utf-8"?>
<sst xmlns="http://schemas.openxmlformats.org/spreadsheetml/2006/main" count="246" uniqueCount="155">
  <si>
    <t xml:space="preserve">실적기준일 : </t>
  </si>
  <si>
    <t>SPI</t>
  </si>
  <si>
    <t>단계</t>
  </si>
  <si>
    <t>TASK</t>
  </si>
  <si>
    <t>담당</t>
  </si>
  <si>
    <t>산출물</t>
  </si>
  <si>
    <t>계획
시작일</t>
  </si>
  <si>
    <t>예상
완료일</t>
  </si>
  <si>
    <t>실제
시작일</t>
  </si>
  <si>
    <t>실제
완료(예정)일</t>
  </si>
  <si>
    <t>계획
기간</t>
  </si>
  <si>
    <t>실제
기간</t>
  </si>
  <si>
    <t>계획
진행</t>
  </si>
  <si>
    <t>실제
진행</t>
  </si>
  <si>
    <t>계획
완료율</t>
  </si>
  <si>
    <t>작업
완료율</t>
  </si>
  <si>
    <t>프로젝트 실적</t>
  </si>
  <si>
    <t>진척율</t>
  </si>
  <si>
    <t>달성율</t>
  </si>
  <si>
    <t>가중치</t>
  </si>
  <si>
    <t>수행단계</t>
  </si>
  <si>
    <t>휴일</t>
  </si>
  <si>
    <t>제헌절</t>
  </si>
  <si>
    <t>Interior Finish Cost &amp; Energy Analysis 프로젝트 WBS</t>
  </si>
  <si>
    <t>6일 개발 일정</t>
  </si>
  <si>
    <t>팀원 A</t>
  </si>
  <si>
    <t>팀원 B</t>
  </si>
  <si>
    <t>26. 10월</t>
  </si>
  <si>
    <t>준비/분석/기획/SRS</t>
  </si>
  <si>
    <t>기획</t>
  </si>
  <si>
    <t>프로젝트 범위·일정·역할 분담</t>
  </si>
  <si>
    <t>프로젝트 계획서</t>
  </si>
  <si>
    <t>■</t>
  </si>
  <si>
    <t>요구사항</t>
  </si>
  <si>
    <t>SRS 작성 및 FR/NFR·UI·TC 범위 확정</t>
  </si>
  <si>
    <t>SRS v1.0</t>
  </si>
  <si>
    <t>환경</t>
  </si>
  <si>
    <t>Unity 프로젝트 및 개발 환경 준비</t>
  </si>
  <si>
    <t>Unity 기본 프로젝트</t>
  </si>
  <si>
    <t>클래스 설계</t>
  </si>
  <si>
    <t>분류</t>
  </si>
  <si>
    <t>핵심 클래스 분류 및 책임 정의</t>
  </si>
  <si>
    <t>클래스 분류표</t>
  </si>
  <si>
    <t>데이터</t>
  </si>
  <si>
    <t>데이터 클래스 설계</t>
  </si>
  <si>
    <t>기능</t>
  </si>
  <si>
    <t>기능 클래스 설계</t>
  </si>
  <si>
    <t>UI</t>
  </si>
  <si>
    <t>UI 및 결과 처리 클래스 연계 설계</t>
  </si>
  <si>
    <t>클래스 관계도</t>
  </si>
  <si>
    <t>구현</t>
  </si>
  <si>
    <t>FR-03</t>
  </si>
  <si>
    <t>1인칭 이동 및 3D Room 화면 구현</t>
  </si>
  <si>
    <t>PlayerController 및 UI-02</t>
  </si>
  <si>
    <t>마감재 적용 기능</t>
  </si>
  <si>
    <t>설비 적용 기능</t>
  </si>
  <si>
    <t>UI-03</t>
  </si>
  <si>
    <t>선택 마감재 사진·스펙 표시 UI</t>
  </si>
  <si>
    <t>UI-03 마감재 패널</t>
  </si>
  <si>
    <t>FR-09</t>
  </si>
  <si>
    <t>견적 계산 및 UI-04 구현</t>
  </si>
  <si>
    <t>견적 모듈 및 UI-04</t>
  </si>
  <si>
    <t>TC-01~09</t>
  </si>
  <si>
    <t>Room·이동·마감재·견적 기능 테스트</t>
  </si>
  <si>
    <t>TC-01~TC-09 결과</t>
  </si>
  <si>
    <t>TC-10~16</t>
  </si>
  <si>
    <t>에너지 계산·초기화·결과 화면 테스트</t>
  </si>
  <si>
    <t>TC-10~TC-16 결과</t>
  </si>
  <si>
    <t>TC-17~26</t>
  </si>
  <si>
    <t>성능·사용성·호환성·안정성·확장성 테스트</t>
  </si>
  <si>
    <t>TC-17~TC-26 결과</t>
  </si>
  <si>
    <t>Windows 빌드 및 NFR 최종 점검</t>
  </si>
  <si>
    <t>Windows 빌드 및 체크리스트</t>
  </si>
  <si>
    <t>문서</t>
  </si>
  <si>
    <t>테스트 결과·사용 설명·최종 자료 정리</t>
  </si>
  <si>
    <t>최종 문서 및 시연 자료</t>
  </si>
  <si>
    <t>문서화
/발표준비</t>
    <phoneticPr fontId="31" type="noConversion"/>
  </si>
  <si>
    <t>테스트/통합</t>
    <phoneticPr fontId="31" type="noConversion"/>
  </si>
  <si>
    <t>통합</t>
    <phoneticPr fontId="31" type="noConversion"/>
  </si>
  <si>
    <t xml:space="preserve"> UI-01~UI-06 통합 및 결함 수정</t>
    <phoneticPr fontId="31" type="noConversion"/>
  </si>
  <si>
    <t>통합 실행본</t>
    <phoneticPr fontId="31" type="noConversion"/>
  </si>
  <si>
    <t>NFR</t>
    <phoneticPr fontId="31" type="noConversion"/>
  </si>
  <si>
    <t>박봉현</t>
    <phoneticPr fontId="31" type="noConversion"/>
  </si>
  <si>
    <t>이영노</t>
    <phoneticPr fontId="31" type="noConversion"/>
  </si>
  <si>
    <t>Room Type 선택 UI 기능 구현</t>
    <phoneticPr fontId="31" type="noConversion"/>
  </si>
  <si>
    <t>FR-01</t>
    <phoneticPr fontId="31" type="noConversion"/>
  </si>
  <si>
    <t>FR-02</t>
    <phoneticPr fontId="31" type="noConversion"/>
  </si>
  <si>
    <t>Room Type 3D 공간 표시</t>
    <phoneticPr fontId="31" type="noConversion"/>
  </si>
  <si>
    <t>UI-01 Room 선택기능</t>
    <phoneticPr fontId="31" type="noConversion"/>
  </si>
  <si>
    <t>Prefab 불러오기</t>
    <phoneticPr fontId="31" type="noConversion"/>
  </si>
  <si>
    <t>RoomData,ProductData,EnergySettings 설계</t>
    <phoneticPr fontId="31" type="noConversion"/>
  </si>
  <si>
    <t>Player,Interaction,Manager 클래스 설계</t>
    <phoneticPr fontId="31" type="noConversion"/>
  </si>
  <si>
    <t>Room·마감재·에너지 기준 데이터 구성</t>
    <phoneticPr fontId="31" type="noConversion"/>
  </si>
  <si>
    <t>FR-10~14</t>
    <phoneticPr fontId="31" type="noConversion"/>
  </si>
  <si>
    <t>데이터</t>
    <phoneticPr fontId="31" type="noConversion"/>
  </si>
  <si>
    <t>FR-04~08</t>
    <phoneticPr fontId="31" type="noConversion"/>
  </si>
  <si>
    <t>ScriptableObject 데이터</t>
    <phoneticPr fontId="31" type="noConversion"/>
  </si>
  <si>
    <t>FR-04</t>
    <phoneticPr fontId="31" type="noConversion"/>
  </si>
  <si>
    <t>FR-05</t>
  </si>
  <si>
    <t>FR-05</t>
    <phoneticPr fontId="31" type="noConversion"/>
  </si>
  <si>
    <t>FR-06</t>
  </si>
  <si>
    <t>FR-06</t>
    <phoneticPr fontId="31" type="noConversion"/>
  </si>
  <si>
    <t>FR-07</t>
  </si>
  <si>
    <t>FR-07</t>
    <phoneticPr fontId="31" type="noConversion"/>
  </si>
  <si>
    <t>FR-08</t>
  </si>
  <si>
    <t>FR-08</t>
    <phoneticPr fontId="31" type="noConversion"/>
  </si>
  <si>
    <t>바닥 마감재 변경, 제거</t>
    <phoneticPr fontId="31" type="noConversion"/>
  </si>
  <si>
    <t>천장 마감재 변경, 제거</t>
    <phoneticPr fontId="31" type="noConversion"/>
  </si>
  <si>
    <t>벽 마감재 변경, 제거</t>
    <phoneticPr fontId="31" type="noConversion"/>
  </si>
  <si>
    <t>블라인드, 커튼 변경, 제거</t>
    <phoneticPr fontId="31" type="noConversion"/>
  </si>
  <si>
    <t>조명 변경, 제거</t>
    <phoneticPr fontId="31" type="noConversion"/>
  </si>
  <si>
    <t>FR-11</t>
  </si>
  <si>
    <t>FR-12</t>
  </si>
  <si>
    <t>FR-13</t>
  </si>
  <si>
    <t>FR-14</t>
  </si>
  <si>
    <t>FR-16</t>
  </si>
  <si>
    <t>중앙 Crosshair 및 Raycast 탐지 구현</t>
    <phoneticPr fontId="31" type="noConversion"/>
  </si>
  <si>
    <t>Raycast 상호작용 기본구조</t>
    <phoneticPr fontId="31" type="noConversion"/>
  </si>
  <si>
    <t>벽 마감재 변경 기능 구현</t>
    <phoneticPr fontId="31" type="noConversion"/>
  </si>
  <si>
    <t>바닥 마감재 변경 기능 구현</t>
    <phoneticPr fontId="31" type="noConversion"/>
  </si>
  <si>
    <t>천장 마감재 변경 기능 구현</t>
    <phoneticPr fontId="31" type="noConversion"/>
  </si>
  <si>
    <t>조명 변경 기능 구현</t>
    <phoneticPr fontId="31" type="noConversion"/>
  </si>
  <si>
    <t>블라인드, 커튼 변경 기능 구현</t>
    <phoneticPr fontId="31" type="noConversion"/>
  </si>
  <si>
    <t>벽 Material 변경</t>
    <phoneticPr fontId="31" type="noConversion"/>
  </si>
  <si>
    <t>바닥 Material 변경</t>
    <phoneticPr fontId="31" type="noConversion"/>
  </si>
  <si>
    <t>천장 Material 변경</t>
    <phoneticPr fontId="31" type="noConversion"/>
  </si>
  <si>
    <t>FR-10</t>
    <phoneticPr fontId="31" type="noConversion"/>
  </si>
  <si>
    <t>FR-15</t>
    <phoneticPr fontId="31" type="noConversion"/>
  </si>
  <si>
    <t>조명 변경 기능</t>
    <phoneticPr fontId="31" type="noConversion"/>
  </si>
  <si>
    <t>창호 마감 변경 기능</t>
    <phoneticPr fontId="31" type="noConversion"/>
  </si>
  <si>
    <t>좌클릭 다음 마감재, 우클릭 초기화 구현</t>
    <phoneticPr fontId="31" type="noConversion"/>
  </si>
  <si>
    <t>FinishTarget 상호작용</t>
    <phoneticPr fontId="31" type="noConversion"/>
  </si>
  <si>
    <t>UI-03 툴팁</t>
    <phoneticPr fontId="31" type="noConversion"/>
  </si>
  <si>
    <t>열저항 계산 기능</t>
    <phoneticPr fontId="31" type="noConversion"/>
  </si>
  <si>
    <t>에너지 사용량 계산</t>
    <phoneticPr fontId="31" type="noConversion"/>
  </si>
  <si>
    <t>에너지 비용 계산</t>
    <phoneticPr fontId="31" type="noConversion"/>
  </si>
  <si>
    <t>절감액 계산 기능</t>
    <phoneticPr fontId="31" type="noConversion"/>
  </si>
  <si>
    <t>회수기간 계산 기능</t>
    <phoneticPr fontId="31" type="noConversion"/>
  </si>
  <si>
    <t>에너지 분석 화면</t>
    <phoneticPr fontId="31" type="noConversion"/>
  </si>
  <si>
    <t>초기화 기능</t>
    <phoneticPr fontId="31" type="noConversion"/>
  </si>
  <si>
    <t>계산 결과 초기화</t>
    <phoneticPr fontId="31" type="noConversion"/>
  </si>
  <si>
    <t>결과 요약 화면</t>
    <phoneticPr fontId="31" type="noConversion"/>
  </si>
  <si>
    <t>현재 선택 마감재 툴팁 및 스펙 표시 구현</t>
    <phoneticPr fontId="31" type="noConversion"/>
  </si>
  <si>
    <t>마감재 두께, 열전도율 기반 열저항 계산 구현</t>
    <phoneticPr fontId="31" type="noConversion"/>
  </si>
  <si>
    <t>Room 열성능 기반 연간 에너지 사용량 계산 구현</t>
    <phoneticPr fontId="31" type="noConversion"/>
  </si>
  <si>
    <t>연간 에너지 비용 계산 구현</t>
    <phoneticPr fontId="31" type="noConversion"/>
  </si>
  <si>
    <t>기준안 대비 예상 절감액 계산 구현</t>
    <phoneticPr fontId="31" type="noConversion"/>
  </si>
  <si>
    <t>추가 투자비 기반 투자 회수기간 계산 구현</t>
    <phoneticPr fontId="31" type="noConversion"/>
  </si>
  <si>
    <t>분석 결과 UI-05 연동 구현</t>
    <phoneticPr fontId="31" type="noConversion"/>
  </si>
  <si>
    <t>선택 마감재 전체 초기화 기능 구현</t>
    <phoneticPr fontId="31" type="noConversion"/>
  </si>
  <si>
    <t>견적 및 분석 결과 초기화 기능 구현</t>
    <phoneticPr fontId="31" type="noConversion"/>
  </si>
  <si>
    <t>견적 결과 UI-06 연동 구현</t>
    <phoneticPr fontId="31" type="noConversion"/>
  </si>
  <si>
    <t>에너지 사용량, 비용, 절감액, 회수기간 UI-06 연동 구현</t>
    <phoneticPr fontId="31" type="noConversion"/>
  </si>
  <si>
    <t>최종 분석 결과 화면</t>
    <phoneticPr fontId="31" type="noConversion"/>
  </si>
  <si>
    <t>■</t>
    <phoneticPr fontId="3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</si>
</sst>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2" formatCode="_-&quot;₩&quot;* #,##0_-;\-&quot;₩&quot;* #,##0_-;_-&quot;₩&quot;* &quot;-&quot;_-;_-@_-"/>
    <numFmt numFmtId="41" formatCode="_-* #,##0_-;\-* #,##0_-;_-* &quot;-&quot;_-;_-@_-"/>
    <numFmt numFmtId="44" formatCode="_-&quot;₩&quot;* #,##0.00_-;\-&quot;₩&quot;* #,##0.00_-;_-&quot;₩&quot;* &quot;-&quot;??_-;_-@_-"/>
    <numFmt numFmtId="43" formatCode="_-* #,##0.00_-;\-* #,##0.00_-;_-* &quot;-&quot;??_-;_-@_-"/>
    <numFmt numFmtId="176" formatCode="yyyy\-mm\-dd"/>
    <numFmt numFmtId="177" formatCode="0.0%"/>
    <numFmt numFmtId="178" formatCode="d"/>
    <numFmt numFmtId="179" formatCode="yyyy&quot;. &quot;m&quot;. &quot;d"/>
  </numFmts>
  <fonts count="35">
    <font>
      <sz val="10"/>
      <color rgb="FF000000"/>
      <name val="Arial"/>
    </font>
    <font>
      <sz val="10"/>
      <name val="Arial"/>
      <family val="2"/>
    </font>
    <font>
      <b/>
      <sz val="28"/>
      <color rgb="FF262626"/>
      <name val="&quot;jtbc 고딕 extrabold&quot;"/>
      <family val="3"/>
      <charset val="129"/>
    </font>
    <font>
      <b/>
      <sz val="11"/>
      <color rgb="FF434343"/>
      <name val="Hind"/>
      <family val="3"/>
      <charset val="129"/>
    </font>
    <font>
      <sz val="11"/>
      <color rgb="FFD9D9D9"/>
      <name val="&quot;jtbc 고딕 regular&quot;"/>
      <family val="3"/>
      <charset val="129"/>
    </font>
    <font>
      <sz val="12"/>
      <color rgb="FFD9D9D9"/>
      <name val="Arial"/>
      <family val="2"/>
    </font>
    <font>
      <sz val="10"/>
      <color rgb="FF262626"/>
      <name val="Arial"/>
      <family val="2"/>
    </font>
    <font>
      <b/>
      <sz val="12"/>
      <color rgb="FF0000FF"/>
      <name val="Arial"/>
      <family val="2"/>
    </font>
    <font>
      <sz val="9"/>
      <color rgb="FFFFFFFF"/>
      <name val="Arial"/>
      <family val="2"/>
    </font>
    <font>
      <sz val="11"/>
      <color theme="1"/>
      <name val="Arial"/>
      <family val="2"/>
    </font>
    <font>
      <b/>
      <sz val="11"/>
      <color theme="1"/>
      <name val="Noto Sans CJK SC"/>
    </font>
    <font>
      <sz val="11"/>
      <color theme="1"/>
      <name val="Noto Sans CJK SC"/>
    </font>
    <font>
      <sz val="10"/>
      <color rgb="FF000000"/>
      <name val="Arial"/>
      <family val="2"/>
    </font>
    <font>
      <b/>
      <sz val="30"/>
      <color rgb="FF262626"/>
      <name val="나눔고딕"/>
      <family val="3"/>
      <charset val="129"/>
    </font>
    <font>
      <b/>
      <sz val="10"/>
      <color rgb="FF262626"/>
      <name val="나눔고딕"/>
      <family val="3"/>
      <charset val="129"/>
    </font>
    <font>
      <b/>
      <sz val="11"/>
      <color rgb="FF262626"/>
      <name val="나눔고딕"/>
      <family val="3"/>
      <charset val="129"/>
    </font>
    <font>
      <b/>
      <sz val="9"/>
      <color rgb="FF262626"/>
      <name val="나눔고딕"/>
      <family val="3"/>
      <charset val="129"/>
    </font>
    <font>
      <b/>
      <sz val="11"/>
      <color rgb="FF0000FF"/>
      <name val="나눔고딕"/>
      <family val="3"/>
      <charset val="129"/>
    </font>
    <font>
      <sz val="10"/>
      <color rgb="FF000000"/>
      <name val="나눔고딕"/>
      <family val="3"/>
      <charset val="129"/>
    </font>
    <font>
      <b/>
      <sz val="11"/>
      <color rgb="FF434343"/>
      <name val="나눔고딕"/>
      <family val="3"/>
      <charset val="129"/>
    </font>
    <font>
      <sz val="11"/>
      <color rgb="FF434343"/>
      <name val="나눔고딕"/>
      <family val="3"/>
      <charset val="129"/>
    </font>
    <font>
      <sz val="11"/>
      <color rgb="FFFFFFFF"/>
      <name val="나눔고딕"/>
      <family val="3"/>
      <charset val="129"/>
    </font>
    <font>
      <sz val="9"/>
      <color rgb="FF262626"/>
      <name val="나눔고딕"/>
      <family val="3"/>
      <charset val="129"/>
    </font>
    <font>
      <sz val="11"/>
      <color rgb="FFD9D9D9"/>
      <name val="나눔고딕"/>
      <family val="3"/>
      <charset val="129"/>
    </font>
    <font>
      <sz val="8"/>
      <color rgb="FF4A86E8"/>
      <name val="나눔고딕"/>
      <family val="3"/>
      <charset val="129"/>
    </font>
    <font>
      <sz val="8"/>
      <color rgb="FF1F4E78"/>
      <name val="나눔고딕"/>
      <family val="3"/>
      <charset val="129"/>
    </font>
    <font>
      <b/>
      <sz val="11"/>
      <color rgb="FFD9D9D9"/>
      <name val="나눔고딕"/>
      <family val="3"/>
      <charset val="129"/>
    </font>
    <font>
      <sz val="11"/>
      <color rgb="FF262626"/>
      <name val="나눔고딕"/>
      <family val="3"/>
      <charset val="129"/>
    </font>
    <font>
      <b/>
      <sz val="8"/>
      <color rgb="FF0000FF"/>
      <name val="나눔고딕"/>
      <family val="3"/>
      <charset val="129"/>
    </font>
    <font>
      <b/>
      <sz val="8"/>
      <color rgb="FF4A86E8"/>
      <name val="나눔고딕"/>
      <family val="3"/>
      <charset val="129"/>
    </font>
    <font>
      <b/>
      <sz val="11"/>
      <color rgb="FFFFFFFF"/>
      <name val="나눔고딕"/>
      <family val="3"/>
      <charset val="129"/>
    </font>
    <font>
      <sz val="8"/>
      <name val="돋움"/>
      <family val="3"/>
      <charset val="129"/>
    </font>
    <font>
      <b/>
      <sz val="11"/>
      <color rgb="FF000000"/>
      <name val="나눔고딕"/>
      <family val="3"/>
      <charset val="129"/>
    </font>
    <font>
      <sz val="11"/>
      <name val="나눔고딕"/>
      <family val="3"/>
      <charset val="129"/>
    </font>
    <font>
      <sz val="11"/>
      <color theme="1"/>
      <name val="나눔고딕"/>
      <family val="3"/>
      <charset val="129"/>
    </font>
  </fonts>
  <fills count="16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404040"/>
      </patternFill>
    </fill>
    <fill>
      <patternFill patternType="solid">
        <fgColor rgb="FF434343"/>
      </patternFill>
    </fill>
    <fill>
      <patternFill patternType="solid">
        <fgColor rgb="FF0000FF"/>
      </patternFill>
    </fill>
    <fill>
      <patternFill patternType="solid">
        <fgColor rgb="FF4A86E8"/>
      </patternFill>
    </fill>
    <fill>
      <patternFill patternType="solid">
        <fgColor rgb="FFEFEFEF"/>
      </patternFill>
    </fill>
    <fill>
      <patternFill patternType="solid">
        <fgColor rgb="FF999999"/>
      </patternFill>
    </fill>
    <fill>
      <patternFill patternType="solid">
        <fgColor rgb="FF00FFFF"/>
      </patternFill>
    </fill>
    <fill>
      <patternFill patternType="solid">
        <fgColor rgb="FFF3F3F3"/>
      </patternFill>
    </fill>
    <fill>
      <patternFill patternType="solid">
        <fgColor rgb="FFF8F8F8"/>
      </patternFill>
    </fill>
    <fill>
      <patternFill patternType="solid">
        <fgColor rgb="FF666666"/>
      </patternFill>
    </fill>
    <fill>
      <patternFill patternType="solid">
        <fgColor rgb="FFFFFF00"/>
      </patternFill>
    </fill>
    <fill>
      <patternFill patternType="solid">
        <fgColor rgb="FFE8F1FC"/>
      </patternFill>
    </fill>
    <fill>
      <patternFill patternType="solid">
        <fgColor rgb="FFFF0000"/>
        <bgColor indexed="64"/>
      </patternFill>
    </fill>
  </fills>
  <borders count="81">
    <border>
      <left/>
      <right/>
      <top/>
      <bottom/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/>
      <top/>
      <bottom/>
      <diagonal/>
    </border>
    <border>
      <left style="thin">
        <color auto="1"/>
      </left>
      <right style="thin">
        <color rgb="FF595959"/>
      </right>
      <top style="thin">
        <color auto="1"/>
      </top>
      <bottom/>
      <diagonal/>
    </border>
    <border>
      <left/>
      <right style="thin">
        <color rgb="FF595959"/>
      </right>
      <top style="thin">
        <color auto="1"/>
      </top>
      <bottom style="thin">
        <color auto="1"/>
      </bottom>
      <diagonal/>
    </border>
    <border>
      <left style="thin">
        <color rgb="FF595959"/>
      </left>
      <right style="thin">
        <color rgb="FF595959"/>
      </right>
      <top style="thin">
        <color auto="1"/>
      </top>
      <bottom style="thin">
        <color auto="1"/>
      </bottom>
      <diagonal/>
    </border>
    <border>
      <left style="thin">
        <color rgb="FF595959"/>
      </left>
      <right style="thin">
        <color rgb="FF595959"/>
      </right>
      <top style="thin">
        <color auto="1"/>
      </top>
      <bottom style="thin">
        <color rgb="FF595959"/>
      </bottom>
      <diagonal/>
    </border>
    <border>
      <left style="thin">
        <color rgb="FF595959"/>
      </left>
      <right/>
      <top style="thin">
        <color auto="1"/>
      </top>
      <bottom style="thin">
        <color rgb="FF595959"/>
      </bottom>
      <diagonal/>
    </border>
    <border>
      <left style="thin">
        <color rgb="FF595959"/>
      </left>
      <right style="thin">
        <color auto="1"/>
      </right>
      <top style="thin">
        <color auto="1"/>
      </top>
      <bottom style="thin">
        <color rgb="FF59595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595959"/>
      </left>
      <right style="thin">
        <color rgb="FF595959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rgb="FF595959"/>
      </right>
      <top/>
      <bottom style="thin">
        <color auto="1"/>
      </bottom>
      <diagonal/>
    </border>
    <border>
      <left style="thin">
        <color rgb="FF595959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rgb="FFD9D9D9"/>
      </right>
      <top style="thin">
        <color rgb="FFCCCCCC"/>
      </top>
      <bottom style="thin">
        <color auto="1"/>
      </bottom>
      <diagonal/>
    </border>
    <border>
      <left/>
      <right style="thin">
        <color rgb="FF999999"/>
      </right>
      <top/>
      <bottom/>
      <diagonal/>
    </border>
    <border>
      <left/>
      <right style="thin">
        <color rgb="FF999999"/>
      </right>
      <top/>
      <bottom style="thin">
        <color rgb="FFD9D9D9"/>
      </bottom>
      <diagonal/>
    </border>
    <border>
      <left style="thin">
        <color rgb="FF999999"/>
      </left>
      <right style="thin">
        <color rgb="FF999999"/>
      </right>
      <top/>
      <bottom style="thin">
        <color rgb="FFD9D9D9"/>
      </bottom>
      <diagonal/>
    </border>
    <border>
      <left style="thin">
        <color rgb="FF999999"/>
      </left>
      <right style="thin">
        <color rgb="FF999999"/>
      </right>
      <top style="thin">
        <color rgb="FFD9D9D9"/>
      </top>
      <bottom style="thin">
        <color rgb="FFD9D9D9"/>
      </bottom>
      <diagonal/>
    </border>
    <border>
      <left style="thin">
        <color rgb="FF999999"/>
      </left>
      <right/>
      <top/>
      <bottom style="thin">
        <color rgb="FFD9D9D9"/>
      </bottom>
      <diagonal/>
    </border>
    <border>
      <left style="thin">
        <color rgb="FF666666"/>
      </left>
      <right style="thin">
        <color rgb="FF666666"/>
      </right>
      <top style="thin">
        <color rgb="FF666666"/>
      </top>
      <bottom style="thin">
        <color rgb="FF666666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rgb="FF999999"/>
      </right>
      <top style="thin">
        <color rgb="FFD9D9D9"/>
      </top>
      <bottom style="thin">
        <color rgb="FFD9D9D9"/>
      </bottom>
      <diagonal/>
    </border>
    <border>
      <left/>
      <right/>
      <top/>
      <bottom style="thin">
        <color rgb="FF666666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rgb="FF999999"/>
      </right>
      <top/>
      <bottom style="thin">
        <color auto="1"/>
      </bottom>
      <diagonal/>
    </border>
    <border>
      <left style="thin">
        <color rgb="FF999999"/>
      </left>
      <right style="thin">
        <color rgb="FF999999"/>
      </right>
      <top style="thin">
        <color rgb="FFD9D9D9"/>
      </top>
      <bottom style="thin">
        <color auto="1"/>
      </bottom>
      <diagonal/>
    </border>
    <border>
      <left style="thin">
        <color rgb="FF999999"/>
      </left>
      <right style="thin">
        <color rgb="FF999999"/>
      </right>
      <top/>
      <bottom style="thin">
        <color auto="1"/>
      </bottom>
      <diagonal/>
    </border>
    <border>
      <left style="thin">
        <color rgb="FF999999"/>
      </left>
      <right/>
      <top/>
      <bottom style="thin">
        <color auto="1"/>
      </bottom>
      <diagonal/>
    </border>
    <border>
      <left/>
      <right style="thin">
        <color rgb="FF999999"/>
      </right>
      <top style="thin">
        <color rgb="FFD9D9D9"/>
      </top>
      <bottom style="thin">
        <color auto="1"/>
      </bottom>
      <diagonal/>
    </border>
    <border>
      <left/>
      <right/>
      <top style="thin">
        <color rgb="FF666666"/>
      </top>
      <bottom/>
      <diagonal/>
    </border>
    <border>
      <left/>
      <right style="thin">
        <color rgb="FF999999"/>
      </right>
      <top style="thin">
        <color rgb="FFD9D9D9"/>
      </top>
      <bottom/>
      <diagonal/>
    </border>
    <border>
      <left style="thin">
        <color rgb="FF999999"/>
      </left>
      <right style="thin">
        <color rgb="FF999999"/>
      </right>
      <top style="thin">
        <color rgb="FFD9D9D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/>
      <right/>
      <top style="thin">
        <color rgb="FF595959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 style="thin">
        <color rgb="FF999999"/>
      </left>
      <right/>
      <top/>
      <bottom/>
      <diagonal/>
    </border>
    <border>
      <left style="thin">
        <color auto="1"/>
      </left>
      <right/>
      <top style="thin">
        <color rgb="FFD9D9D9"/>
      </top>
      <bottom/>
      <diagonal/>
    </border>
    <border>
      <left style="thin">
        <color rgb="FF999999"/>
      </left>
      <right style="thin">
        <color rgb="FF999999"/>
      </right>
      <top style="thin">
        <color rgb="FFD9D9D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D9D9D9"/>
      </bottom>
      <diagonal/>
    </border>
    <border>
      <left style="thin">
        <color auto="1"/>
      </left>
      <right/>
      <top style="thin">
        <color rgb="FFD9D9D9"/>
      </top>
      <bottom style="thin">
        <color auto="1"/>
      </bottom>
      <diagonal/>
    </border>
    <border>
      <left style="thin">
        <color auto="1"/>
      </left>
      <right/>
      <top style="thin">
        <color rgb="FFD9D9D9"/>
      </top>
      <bottom style="thin">
        <color rgb="FFD9D9D9"/>
      </bottom>
      <diagonal/>
    </border>
    <border>
      <left style="thin">
        <color auto="1"/>
      </left>
      <right/>
      <top style="thin">
        <color auto="1"/>
      </top>
      <bottom style="thin">
        <color rgb="FFD9D9D9"/>
      </bottom>
      <diagonal/>
    </border>
    <border>
      <left/>
      <right style="thin">
        <color rgb="FF999999"/>
      </right>
      <top style="thin">
        <color auto="1"/>
      </top>
      <bottom style="thin">
        <color rgb="FFD9D9D9"/>
      </bottom>
      <diagonal/>
    </border>
    <border>
      <left style="thin">
        <color rgb="FF666666"/>
      </left>
      <right style="thin">
        <color rgb="FF666666"/>
      </right>
      <top/>
      <bottom style="thin">
        <color rgb="FF666666"/>
      </bottom>
      <diagonal/>
    </border>
    <border>
      <left style="thin">
        <color rgb="FF666666"/>
      </left>
      <right style="thin">
        <color rgb="FF666666"/>
      </right>
      <top style="thin">
        <color rgb="FF666666"/>
      </top>
      <bottom style="thin">
        <color auto="1"/>
      </bottom>
      <diagonal/>
    </border>
    <border>
      <left/>
      <right style="thin">
        <color theme="0" tint="-0.14996795556505021"/>
      </right>
      <top style="thin">
        <color auto="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auto="1"/>
      </top>
      <bottom style="thin">
        <color theme="0" tint="-0.14996795556505021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/>
      <top style="thin">
        <color auto="1"/>
      </top>
      <bottom style="thin">
        <color theme="0" tint="-0.14996795556505021"/>
      </bottom>
      <diagonal/>
    </border>
    <border>
      <left style="thin">
        <color theme="0" tint="-0.14996795556505021"/>
      </left>
      <right/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auto="1"/>
      </left>
      <right style="thin">
        <color theme="0" tint="-0.14996795556505021"/>
      </right>
      <top style="thin">
        <color auto="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auto="1"/>
      </right>
      <top style="thin">
        <color auto="1"/>
      </top>
      <bottom style="thin">
        <color theme="0" tint="-0.14996795556505021"/>
      </bottom>
      <diagonal/>
    </border>
    <border>
      <left style="thin">
        <color auto="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auto="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rgb="FF666666"/>
      </left>
      <right/>
      <top style="thin">
        <color rgb="FF666666"/>
      </top>
      <bottom style="thin">
        <color rgb="FF666666"/>
      </bottom>
      <diagonal/>
    </border>
    <border>
      <left style="thin">
        <color rgb="FF666666"/>
      </left>
      <right/>
      <top style="thin">
        <color rgb="FF666666"/>
      </top>
      <bottom style="thin">
        <color auto="1"/>
      </bottom>
      <diagonal/>
    </border>
    <border>
      <left style="thin">
        <color rgb="FF666666"/>
      </left>
      <right/>
      <top/>
      <bottom style="thin">
        <color rgb="FF666666"/>
      </bottom>
      <diagonal/>
    </border>
    <border>
      <left style="thin">
        <color auto="1"/>
      </left>
      <right style="thin">
        <color theme="0" tint="-0.14996795556505021"/>
      </right>
      <top style="thin">
        <color theme="0" tint="-0.14996795556505021"/>
      </top>
      <bottom style="thin">
        <color auto="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auto="1"/>
      </bottom>
      <diagonal/>
    </border>
    <border>
      <left style="thin">
        <color theme="0" tint="-0.14996795556505021"/>
      </left>
      <right/>
      <top style="thin">
        <color theme="0" tint="-0.14996795556505021"/>
      </top>
      <bottom style="thin">
        <color auto="1"/>
      </bottom>
      <diagonal/>
    </border>
    <border>
      <left style="thin">
        <color theme="0" tint="-0.14996795556505021"/>
      </left>
      <right style="thin">
        <color auto="1"/>
      </right>
      <top style="thin">
        <color theme="0" tint="-0.14996795556505021"/>
      </top>
      <bottom style="thin">
        <color auto="1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thin">
        <color auto="1"/>
      </bottom>
      <diagonal/>
    </border>
    <border>
      <left style="thin">
        <color auto="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theme="0" tint="-0.14996795556505021"/>
      </left>
      <right/>
      <top/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auto="1"/>
      </right>
      <top/>
      <bottom style="thin">
        <color theme="0" tint="-0.14996795556505021"/>
      </bottom>
      <diagonal/>
    </border>
    <border>
      <left/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auto="1"/>
      </left>
      <right style="thin">
        <color theme="0" tint="-0.14996795556505021"/>
      </right>
      <top style="thin">
        <color theme="0" tint="-0.14996795556505021"/>
      </top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/>
      <diagonal/>
    </border>
    <border>
      <left style="thin">
        <color theme="0" tint="-0.14996795556505021"/>
      </left>
      <right/>
      <top style="thin">
        <color theme="0" tint="-0.14996795556505021"/>
      </top>
      <bottom/>
      <diagonal/>
    </border>
    <border>
      <left style="thin">
        <color theme="0" tint="-0.14996795556505021"/>
      </left>
      <right style="thin">
        <color auto="1"/>
      </right>
      <top style="thin">
        <color theme="0" tint="-0.14996795556505021"/>
      </top>
      <bottom/>
      <diagonal/>
    </border>
    <border>
      <left/>
      <right style="thin">
        <color theme="0" tint="-0.14996795556505021"/>
      </right>
      <top style="thin">
        <color theme="0" tint="-0.14996795556505021"/>
      </top>
      <bottom/>
      <diagonal/>
    </border>
  </borders>
  <cellStyleXfs count="7">
    <xf numFmtId="0" fontId="0" fillId="0" borderId="0"/>
    <xf numFmtId="43" fontId="1" fillId="0" borderId="0" applyBorder="0" applyAlignment="0" applyProtection="0"/>
    <xf numFmtId="41" fontId="1" fillId="0" borderId="0" applyBorder="0" applyAlignment="0" applyProtection="0"/>
    <xf numFmtId="44" fontId="1" fillId="0" borderId="0" applyBorder="0" applyAlignment="0" applyProtection="0"/>
    <xf numFmtId="42" fontId="1" fillId="0" borderId="0" applyBorder="0" applyAlignment="0" applyProtection="0"/>
    <xf numFmtId="9" fontId="1" fillId="0" borderId="0" applyBorder="0" applyAlignment="0" applyProtection="0"/>
    <xf numFmtId="0" fontId="12" fillId="0" borderId="0"/>
  </cellStyleXfs>
  <cellXfs count="215">
    <xf numFmtId="0" fontId="0" fillId="0" borderId="0" xfId="0"/>
    <xf numFmtId="0" fontId="4" fillId="0" borderId="0" xfId="6" applyFont="1" applyAlignment="1">
      <alignment horizontal="center" vertical="center"/>
    </xf>
    <xf numFmtId="0" fontId="5" fillId="0" borderId="0" xfId="6" applyFont="1" applyAlignment="1">
      <alignment horizontal="center" vertical="center"/>
    </xf>
    <xf numFmtId="0" fontId="7" fillId="0" borderId="0" xfId="6" applyFont="1" applyAlignment="1">
      <alignment horizontal="center" vertical="center"/>
    </xf>
    <xf numFmtId="0" fontId="6" fillId="11" borderId="0" xfId="6" applyFont="1" applyFill="1" applyAlignment="1">
      <alignment horizontal="left" vertical="center"/>
    </xf>
    <xf numFmtId="0" fontId="6" fillId="11" borderId="34" xfId="6" applyFont="1" applyFill="1" applyBorder="1" applyAlignment="1">
      <alignment horizontal="left" vertical="center"/>
    </xf>
    <xf numFmtId="0" fontId="8" fillId="0" borderId="0" xfId="6" applyFont="1" applyAlignment="1">
      <alignment horizontal="left" vertical="center"/>
    </xf>
    <xf numFmtId="0" fontId="9" fillId="0" borderId="0" xfId="6" applyFont="1"/>
    <xf numFmtId="0" fontId="10" fillId="13" borderId="0" xfId="6" applyFont="1" applyFill="1" applyAlignment="1">
      <alignment horizontal="center"/>
    </xf>
    <xf numFmtId="179" fontId="9" fillId="13" borderId="0" xfId="6" applyNumberFormat="1" applyFont="1" applyFill="1" applyAlignment="1">
      <alignment horizontal="center"/>
    </xf>
    <xf numFmtId="0" fontId="11" fillId="0" borderId="0" xfId="6" applyFont="1"/>
    <xf numFmtId="0" fontId="2" fillId="0" borderId="0" xfId="6" applyFont="1" applyAlignment="1">
      <alignment horizontal="left" vertical="center"/>
    </xf>
    <xf numFmtId="0" fontId="3" fillId="0" borderId="1" xfId="6" applyFont="1" applyBorder="1" applyAlignment="1">
      <alignment horizontal="left" vertical="center"/>
    </xf>
    <xf numFmtId="0" fontId="13" fillId="2" borderId="0" xfId="6" applyFont="1" applyFill="1" applyAlignment="1">
      <alignment horizontal="left" vertical="center"/>
    </xf>
    <xf numFmtId="0" fontId="14" fillId="2" borderId="0" xfId="6" applyFont="1" applyFill="1" applyAlignment="1">
      <alignment horizontal="right" vertical="center"/>
    </xf>
    <xf numFmtId="0" fontId="15" fillId="2" borderId="0" xfId="6" applyFont="1" applyFill="1" applyAlignment="1">
      <alignment horizontal="right" vertical="center"/>
    </xf>
    <xf numFmtId="176" fontId="15" fillId="0" borderId="0" xfId="6" applyNumberFormat="1" applyFont="1" applyAlignment="1">
      <alignment horizontal="center" vertical="center"/>
    </xf>
    <xf numFmtId="0" fontId="16" fillId="2" borderId="0" xfId="6" applyFont="1" applyFill="1" applyAlignment="1">
      <alignment horizontal="right" vertical="center"/>
    </xf>
    <xf numFmtId="0" fontId="17" fillId="2" borderId="0" xfId="6" applyFont="1" applyFill="1" applyAlignment="1">
      <alignment horizontal="right" vertical="center"/>
    </xf>
    <xf numFmtId="177" fontId="15" fillId="2" borderId="0" xfId="6" applyNumberFormat="1" applyFont="1" applyFill="1" applyAlignment="1">
      <alignment horizontal="right" vertical="center"/>
    </xf>
    <xf numFmtId="177" fontId="17" fillId="2" borderId="0" xfId="6" applyNumberFormat="1" applyFont="1" applyFill="1" applyAlignment="1">
      <alignment horizontal="left" vertical="center"/>
    </xf>
    <xf numFmtId="0" fontId="18" fillId="0" borderId="0" xfId="6" applyFont="1" applyAlignment="1">
      <alignment vertical="center"/>
    </xf>
    <xf numFmtId="0" fontId="19" fillId="0" borderId="2" xfId="6" applyFont="1" applyBorder="1" applyAlignment="1">
      <alignment horizontal="left" vertical="center"/>
    </xf>
    <xf numFmtId="0" fontId="20" fillId="2" borderId="2" xfId="6" applyFont="1" applyFill="1" applyBorder="1" applyAlignment="1">
      <alignment vertical="center"/>
    </xf>
    <xf numFmtId="0" fontId="20" fillId="2" borderId="2" xfId="6" applyFont="1" applyFill="1" applyBorder="1" applyAlignment="1">
      <alignment horizontal="center" vertical="center"/>
    </xf>
    <xf numFmtId="0" fontId="20" fillId="2" borderId="3" xfId="6" applyFont="1" applyFill="1" applyBorder="1" applyAlignment="1">
      <alignment horizontal="center" vertical="center"/>
    </xf>
    <xf numFmtId="0" fontId="20" fillId="2" borderId="3" xfId="6" applyFont="1" applyFill="1" applyBorder="1" applyAlignment="1">
      <alignment vertical="center"/>
    </xf>
    <xf numFmtId="0" fontId="20" fillId="2" borderId="0" xfId="6" applyFont="1" applyFill="1" applyAlignment="1">
      <alignment vertical="center"/>
    </xf>
    <xf numFmtId="178" fontId="22" fillId="10" borderId="17" xfId="6" applyNumberFormat="1" applyFont="1" applyFill="1" applyBorder="1" applyAlignment="1">
      <alignment horizontal="center" vertical="center"/>
    </xf>
    <xf numFmtId="0" fontId="23" fillId="4" borderId="0" xfId="6" applyFont="1" applyFill="1" applyAlignment="1">
      <alignment horizontal="center" vertical="center"/>
    </xf>
    <xf numFmtId="0" fontId="26" fillId="4" borderId="0" xfId="6" applyFont="1" applyFill="1" applyAlignment="1">
      <alignment horizontal="center" vertical="center"/>
    </xf>
    <xf numFmtId="0" fontId="26" fillId="4" borderId="26" xfId="6" applyFont="1" applyFill="1" applyBorder="1" applyAlignment="1">
      <alignment horizontal="center" vertical="center"/>
    </xf>
    <xf numFmtId="0" fontId="26" fillId="4" borderId="33" xfId="6" applyFont="1" applyFill="1" applyBorder="1" applyAlignment="1">
      <alignment horizontal="center" vertical="center"/>
    </xf>
    <xf numFmtId="0" fontId="26" fillId="4" borderId="13" xfId="6" applyFont="1" applyFill="1" applyBorder="1" applyAlignment="1">
      <alignment horizontal="center" vertical="center"/>
    </xf>
    <xf numFmtId="176" fontId="27" fillId="0" borderId="20" xfId="6" applyNumberFormat="1" applyFont="1" applyBorder="1" applyAlignment="1">
      <alignment horizontal="center" vertical="center"/>
    </xf>
    <xf numFmtId="176" fontId="27" fillId="0" borderId="19" xfId="6" applyNumberFormat="1" applyFont="1" applyBorder="1" applyAlignment="1">
      <alignment horizontal="center" vertical="center"/>
    </xf>
    <xf numFmtId="176" fontId="27" fillId="0" borderId="30" xfId="6" applyNumberFormat="1" applyFont="1" applyBorder="1" applyAlignment="1">
      <alignment horizontal="center" vertical="center"/>
    </xf>
    <xf numFmtId="176" fontId="27" fillId="0" borderId="28" xfId="6" applyNumberFormat="1" applyFont="1" applyBorder="1" applyAlignment="1">
      <alignment horizontal="center" vertical="center"/>
    </xf>
    <xf numFmtId="176" fontId="27" fillId="0" borderId="36" xfId="6" applyNumberFormat="1" applyFont="1" applyBorder="1" applyAlignment="1">
      <alignment horizontal="center" vertical="center"/>
    </xf>
    <xf numFmtId="176" fontId="27" fillId="0" borderId="18" xfId="6" applyNumberFormat="1" applyFont="1" applyBorder="1" applyAlignment="1">
      <alignment horizontal="center" vertical="center"/>
    </xf>
    <xf numFmtId="176" fontId="27" fillId="0" borderId="29" xfId="6" applyNumberFormat="1" applyFont="1" applyBorder="1" applyAlignment="1">
      <alignment horizontal="center" vertical="center"/>
    </xf>
    <xf numFmtId="176" fontId="27" fillId="0" borderId="32" xfId="6" applyNumberFormat="1" applyFont="1" applyBorder="1" applyAlignment="1">
      <alignment horizontal="center" vertical="center"/>
    </xf>
    <xf numFmtId="0" fontId="23" fillId="4" borderId="13" xfId="6" applyFont="1" applyFill="1" applyBorder="1" applyAlignment="1">
      <alignment horizontal="center" vertical="center"/>
    </xf>
    <xf numFmtId="0" fontId="21" fillId="12" borderId="39" xfId="6" applyFont="1" applyFill="1" applyBorder="1" applyAlignment="1">
      <alignment horizontal="center" vertical="center"/>
    </xf>
    <xf numFmtId="0" fontId="30" fillId="12" borderId="39" xfId="6" applyFont="1" applyFill="1" applyBorder="1" applyAlignment="1">
      <alignment horizontal="center" vertical="center"/>
    </xf>
    <xf numFmtId="0" fontId="30" fillId="12" borderId="38" xfId="6" applyFont="1" applyFill="1" applyBorder="1" applyAlignment="1">
      <alignment horizontal="center" vertical="center"/>
    </xf>
    <xf numFmtId="0" fontId="30" fillId="12" borderId="10" xfId="6" applyFont="1" applyFill="1" applyBorder="1" applyAlignment="1">
      <alignment horizontal="center" vertical="center"/>
    </xf>
    <xf numFmtId="9" fontId="30" fillId="12" borderId="40" xfId="6" applyNumberFormat="1" applyFont="1" applyFill="1" applyBorder="1" applyAlignment="1">
      <alignment horizontal="center" vertical="center"/>
    </xf>
    <xf numFmtId="9" fontId="30" fillId="12" borderId="27" xfId="6" applyNumberFormat="1" applyFont="1" applyFill="1" applyBorder="1" applyAlignment="1">
      <alignment horizontal="center" vertical="center"/>
    </xf>
    <xf numFmtId="0" fontId="13" fillId="2" borderId="0" xfId="6" applyFont="1" applyFill="1" applyAlignment="1">
      <alignment horizontal="center" vertical="center"/>
    </xf>
    <xf numFmtId="0" fontId="19" fillId="0" borderId="2" xfId="6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30" fillId="6" borderId="10" xfId="6" applyFont="1" applyFill="1" applyBorder="1" applyAlignment="1">
      <alignment horizontal="center" vertical="center"/>
    </xf>
    <xf numFmtId="0" fontId="30" fillId="3" borderId="12" xfId="6" applyFont="1" applyFill="1" applyBorder="1" applyAlignment="1">
      <alignment horizontal="center" vertical="center"/>
    </xf>
    <xf numFmtId="0" fontId="32" fillId="7" borderId="13" xfId="6" applyFont="1" applyFill="1" applyBorder="1" applyAlignment="1">
      <alignment horizontal="center" vertical="center"/>
    </xf>
    <xf numFmtId="176" fontId="17" fillId="9" borderId="11" xfId="6" applyNumberFormat="1" applyFont="1" applyFill="1" applyBorder="1" applyAlignment="1">
      <alignment horizontal="center" vertical="center"/>
    </xf>
    <xf numFmtId="0" fontId="17" fillId="9" borderId="11" xfId="6" applyFont="1" applyFill="1" applyBorder="1" applyAlignment="1">
      <alignment horizontal="center" vertical="center"/>
    </xf>
    <xf numFmtId="9" fontId="17" fillId="9" borderId="15" xfId="6" applyNumberFormat="1" applyFont="1" applyFill="1" applyBorder="1" applyAlignment="1">
      <alignment horizontal="center" vertical="center"/>
    </xf>
    <xf numFmtId="9" fontId="17" fillId="9" borderId="16" xfId="6" applyNumberFormat="1" applyFont="1" applyFill="1" applyBorder="1" applyAlignment="1">
      <alignment horizontal="center" vertical="center"/>
    </xf>
    <xf numFmtId="177" fontId="17" fillId="10" borderId="16" xfId="6" applyNumberFormat="1" applyFont="1" applyFill="1" applyBorder="1" applyAlignment="1">
      <alignment horizontal="center" vertical="center"/>
    </xf>
    <xf numFmtId="0" fontId="15" fillId="11" borderId="0" xfId="6" applyFont="1" applyFill="1" applyAlignment="1">
      <alignment horizontal="center" vertical="center" wrapText="1"/>
    </xf>
    <xf numFmtId="0" fontId="27" fillId="0" borderId="19" xfId="6" applyFont="1" applyBorder="1" applyAlignment="1">
      <alignment horizontal="center" vertical="center"/>
    </xf>
    <xf numFmtId="0" fontId="27" fillId="0" borderId="20" xfId="6" applyFont="1" applyBorder="1" applyAlignment="1">
      <alignment horizontal="center" vertical="center"/>
    </xf>
    <xf numFmtId="176" fontId="27" fillId="0" borderId="20" xfId="6" applyNumberFormat="1" applyFont="1" applyBorder="1" applyAlignment="1">
      <alignment horizontal="center" vertical="center" wrapText="1"/>
    </xf>
    <xf numFmtId="0" fontId="27" fillId="0" borderId="21" xfId="6" applyFont="1" applyBorder="1" applyAlignment="1">
      <alignment horizontal="center" vertical="center"/>
    </xf>
    <xf numFmtId="0" fontId="17" fillId="10" borderId="20" xfId="6" applyFont="1" applyFill="1" applyBorder="1" applyAlignment="1">
      <alignment horizontal="center" vertical="center"/>
    </xf>
    <xf numFmtId="0" fontId="17" fillId="10" borderId="22" xfId="6" applyFont="1" applyFill="1" applyBorder="1" applyAlignment="1">
      <alignment horizontal="center" vertical="center"/>
    </xf>
    <xf numFmtId="9" fontId="20" fillId="11" borderId="23" xfId="6" applyNumberFormat="1" applyFont="1" applyFill="1" applyBorder="1" applyAlignment="1">
      <alignment horizontal="center" vertical="center"/>
    </xf>
    <xf numFmtId="9" fontId="17" fillId="11" borderId="23" xfId="6" applyNumberFormat="1" applyFont="1" applyFill="1" applyBorder="1" applyAlignment="1">
      <alignment horizontal="center" vertical="center"/>
    </xf>
    <xf numFmtId="9" fontId="19" fillId="11" borderId="23" xfId="6" applyNumberFormat="1" applyFont="1" applyFill="1" applyBorder="1" applyAlignment="1">
      <alignment horizontal="center" vertical="center"/>
    </xf>
    <xf numFmtId="177" fontId="17" fillId="10" borderId="24" xfId="6" applyNumberFormat="1" applyFont="1" applyFill="1" applyBorder="1" applyAlignment="1">
      <alignment horizontal="center" vertical="center"/>
    </xf>
    <xf numFmtId="176" fontId="27" fillId="0" borderId="21" xfId="6" applyNumberFormat="1" applyFont="1" applyBorder="1" applyAlignment="1">
      <alignment horizontal="center" vertical="center" wrapText="1"/>
    </xf>
    <xf numFmtId="176" fontId="27" fillId="0" borderId="21" xfId="6" applyNumberFormat="1" applyFont="1" applyBorder="1" applyAlignment="1">
      <alignment horizontal="center" vertical="center"/>
    </xf>
    <xf numFmtId="177" fontId="17" fillId="10" borderId="27" xfId="6" applyNumberFormat="1" applyFont="1" applyFill="1" applyBorder="1" applyAlignment="1">
      <alignment horizontal="center" vertical="center"/>
    </xf>
    <xf numFmtId="0" fontId="15" fillId="11" borderId="13" xfId="6" applyFont="1" applyFill="1" applyBorder="1" applyAlignment="1">
      <alignment horizontal="center" vertical="center" wrapText="1"/>
    </xf>
    <xf numFmtId="0" fontId="27" fillId="0" borderId="28" xfId="6" applyFont="1" applyBorder="1" applyAlignment="1">
      <alignment horizontal="center" vertical="center"/>
    </xf>
    <xf numFmtId="0" fontId="27" fillId="0" borderId="29" xfId="6" applyFont="1" applyBorder="1" applyAlignment="1">
      <alignment horizontal="center" vertical="center"/>
    </xf>
    <xf numFmtId="176" fontId="27" fillId="0" borderId="29" xfId="6" applyNumberFormat="1" applyFont="1" applyBorder="1" applyAlignment="1">
      <alignment horizontal="center" vertical="center" wrapText="1"/>
    </xf>
    <xf numFmtId="0" fontId="17" fillId="10" borderId="30" xfId="6" applyFont="1" applyFill="1" applyBorder="1" applyAlignment="1">
      <alignment horizontal="center" vertical="center"/>
    </xf>
    <xf numFmtId="0" fontId="27" fillId="0" borderId="30" xfId="6" applyFont="1" applyBorder="1" applyAlignment="1">
      <alignment horizontal="center" vertical="center"/>
    </xf>
    <xf numFmtId="0" fontId="17" fillId="10" borderId="31" xfId="6" applyFont="1" applyFill="1" applyBorder="1" applyAlignment="1">
      <alignment horizontal="center" vertical="center"/>
    </xf>
    <xf numFmtId="177" fontId="17" fillId="7" borderId="16" xfId="6" applyNumberFormat="1" applyFont="1" applyFill="1" applyBorder="1" applyAlignment="1">
      <alignment horizontal="center" vertical="center"/>
    </xf>
    <xf numFmtId="0" fontId="27" fillId="0" borderId="20" xfId="6" applyFont="1" applyBorder="1" applyAlignment="1">
      <alignment horizontal="center" vertical="center" wrapText="1"/>
    </xf>
    <xf numFmtId="177" fontId="17" fillId="7" borderId="24" xfId="6" applyNumberFormat="1" applyFont="1" applyFill="1" applyBorder="1" applyAlignment="1">
      <alignment horizontal="center" vertical="center"/>
    </xf>
    <xf numFmtId="0" fontId="27" fillId="0" borderId="25" xfId="6" applyFont="1" applyBorder="1" applyAlignment="1">
      <alignment horizontal="center" vertical="center"/>
    </xf>
    <xf numFmtId="0" fontId="27" fillId="0" borderId="21" xfId="6" applyFont="1" applyBorder="1" applyAlignment="1">
      <alignment horizontal="center" vertical="center" wrapText="1"/>
    </xf>
    <xf numFmtId="177" fontId="17" fillId="7" borderId="27" xfId="6" applyNumberFormat="1" applyFont="1" applyFill="1" applyBorder="1" applyAlignment="1">
      <alignment horizontal="center" vertical="center"/>
    </xf>
    <xf numFmtId="0" fontId="27" fillId="0" borderId="32" xfId="6" applyFont="1" applyBorder="1" applyAlignment="1">
      <alignment horizontal="center" vertical="center"/>
    </xf>
    <xf numFmtId="0" fontId="27" fillId="0" borderId="29" xfId="6" applyFont="1" applyBorder="1" applyAlignment="1">
      <alignment horizontal="center" vertical="center" wrapText="1"/>
    </xf>
    <xf numFmtId="0" fontId="27" fillId="11" borderId="34" xfId="6" applyFont="1" applyFill="1" applyBorder="1" applyAlignment="1">
      <alignment horizontal="center" vertical="center"/>
    </xf>
    <xf numFmtId="0" fontId="27" fillId="0" borderId="34" xfId="6" applyFont="1" applyBorder="1" applyAlignment="1">
      <alignment horizontal="center" vertical="center"/>
    </xf>
    <xf numFmtId="0" fontId="27" fillId="0" borderId="35" xfId="6" applyFont="1" applyBorder="1" applyAlignment="1">
      <alignment horizontal="center" vertical="center"/>
    </xf>
    <xf numFmtId="0" fontId="27" fillId="0" borderId="35" xfId="6" applyFont="1" applyBorder="1" applyAlignment="1">
      <alignment horizontal="center" vertical="center" wrapText="1"/>
    </xf>
    <xf numFmtId="9" fontId="27" fillId="11" borderId="23" xfId="6" applyNumberFormat="1" applyFont="1" applyFill="1" applyBorder="1" applyAlignment="1">
      <alignment horizontal="center" vertical="center"/>
    </xf>
    <xf numFmtId="0" fontId="27" fillId="0" borderId="18" xfId="6" applyFont="1" applyBorder="1" applyAlignment="1">
      <alignment horizontal="center" vertical="center"/>
    </xf>
    <xf numFmtId="0" fontId="27" fillId="0" borderId="36" xfId="6" applyFont="1" applyBorder="1" applyAlignment="1">
      <alignment horizontal="center" vertical="center"/>
    </xf>
    <xf numFmtId="0" fontId="27" fillId="0" borderId="36" xfId="6" applyFont="1" applyBorder="1" applyAlignment="1">
      <alignment horizontal="center" vertical="center" wrapText="1"/>
    </xf>
    <xf numFmtId="0" fontId="15" fillId="11" borderId="37" xfId="6" applyFont="1" applyFill="1" applyBorder="1" applyAlignment="1">
      <alignment horizontal="center" vertical="center" wrapText="1"/>
    </xf>
    <xf numFmtId="0" fontId="33" fillId="0" borderId="19" xfId="6" applyFont="1" applyBorder="1" applyAlignment="1">
      <alignment horizontal="center" vertical="center"/>
    </xf>
    <xf numFmtId="0" fontId="33" fillId="0" borderId="20" xfId="6" applyFont="1" applyBorder="1" applyAlignment="1">
      <alignment horizontal="center" vertical="center"/>
    </xf>
    <xf numFmtId="0" fontId="33" fillId="0" borderId="20" xfId="6" applyFont="1" applyBorder="1" applyAlignment="1">
      <alignment horizontal="center" vertical="center" wrapText="1"/>
    </xf>
    <xf numFmtId="0" fontId="34" fillId="0" borderId="21" xfId="6" applyFont="1" applyBorder="1" applyAlignment="1">
      <alignment horizontal="center" vertical="center"/>
    </xf>
    <xf numFmtId="9" fontId="34" fillId="11" borderId="23" xfId="6" applyNumberFormat="1" applyFont="1" applyFill="1" applyBorder="1" applyAlignment="1">
      <alignment horizontal="center" vertical="center"/>
    </xf>
    <xf numFmtId="0" fontId="17" fillId="0" borderId="19" xfId="6" applyFont="1" applyBorder="1" applyAlignment="1">
      <alignment horizontal="center" vertical="center"/>
    </xf>
    <xf numFmtId="0" fontId="27" fillId="11" borderId="35" xfId="6" applyFont="1" applyFill="1" applyBorder="1" applyAlignment="1">
      <alignment horizontal="center" vertical="center"/>
    </xf>
    <xf numFmtId="0" fontId="27" fillId="11" borderId="35" xfId="6" applyFont="1" applyFill="1" applyBorder="1" applyAlignment="1">
      <alignment horizontal="center" vertical="center" wrapText="1"/>
    </xf>
    <xf numFmtId="176" fontId="27" fillId="11" borderId="35" xfId="6" applyNumberFormat="1" applyFont="1" applyFill="1" applyBorder="1" applyAlignment="1">
      <alignment horizontal="center" vertical="center"/>
    </xf>
    <xf numFmtId="0" fontId="34" fillId="12" borderId="39" xfId="6" applyFont="1" applyFill="1" applyBorder="1" applyAlignment="1">
      <alignment horizontal="left" vertical="center"/>
    </xf>
    <xf numFmtId="0" fontId="16" fillId="2" borderId="0" xfId="6" applyFont="1" applyFill="1" applyAlignment="1">
      <alignment horizontal="right" vertical="center"/>
    </xf>
    <xf numFmtId="0" fontId="30" fillId="3" borderId="4" xfId="6" applyFont="1" applyFill="1" applyBorder="1" applyAlignment="1">
      <alignment horizontal="center" vertical="center"/>
    </xf>
    <xf numFmtId="0" fontId="30" fillId="3" borderId="5" xfId="6" applyFont="1" applyFill="1" applyBorder="1" applyAlignment="1">
      <alignment horizontal="center" vertical="center"/>
    </xf>
    <xf numFmtId="0" fontId="30" fillId="3" borderId="6" xfId="6" applyFont="1" applyFill="1" applyBorder="1" applyAlignment="1">
      <alignment horizontal="center" vertical="center"/>
    </xf>
    <xf numFmtId="0" fontId="30" fillId="4" borderId="6" xfId="6" applyFont="1" applyFill="1" applyBorder="1" applyAlignment="1">
      <alignment horizontal="center" vertical="center"/>
    </xf>
    <xf numFmtId="0" fontId="30" fillId="3" borderId="11" xfId="6" applyFont="1" applyFill="1" applyBorder="1" applyAlignment="1">
      <alignment horizontal="center" vertical="center"/>
    </xf>
    <xf numFmtId="0" fontId="30" fillId="4" borderId="7" xfId="6" applyFont="1" applyFill="1" applyBorder="1" applyAlignment="1">
      <alignment horizontal="center" vertical="center" wrapText="1"/>
    </xf>
    <xf numFmtId="0" fontId="32" fillId="8" borderId="14" xfId="6" applyFont="1" applyFill="1" applyBorder="1" applyAlignment="1">
      <alignment horizontal="center" vertical="center"/>
    </xf>
    <xf numFmtId="0" fontId="30" fillId="4" borderId="8" xfId="6" applyFont="1" applyFill="1" applyBorder="1" applyAlignment="1">
      <alignment horizontal="center" vertical="center" wrapText="1"/>
    </xf>
    <xf numFmtId="0" fontId="30" fillId="4" borderId="9" xfId="6" applyFont="1" applyFill="1" applyBorder="1" applyAlignment="1">
      <alignment horizontal="center" vertical="center" wrapText="1"/>
    </xf>
    <xf numFmtId="0" fontId="30" fillId="4" borderId="10" xfId="6" applyFont="1" applyFill="1" applyBorder="1" applyAlignment="1">
      <alignment horizontal="center" vertical="center" wrapText="1"/>
    </xf>
    <xf numFmtId="0" fontId="30" fillId="5" borderId="10" xfId="6" applyFont="1" applyFill="1" applyBorder="1" applyAlignment="1">
      <alignment horizontal="center" vertical="center"/>
    </xf>
    <xf numFmtId="0" fontId="27" fillId="11" borderId="19" xfId="6" applyFont="1" applyFill="1" applyBorder="1" applyAlignment="1">
      <alignment horizontal="center" vertical="center" wrapText="1"/>
    </xf>
    <xf numFmtId="0" fontId="27" fillId="11" borderId="19" xfId="6" applyFont="1" applyFill="1" applyBorder="1" applyAlignment="1">
      <alignment horizontal="center" vertical="center"/>
    </xf>
    <xf numFmtId="0" fontId="27" fillId="11" borderId="28" xfId="6" applyFont="1" applyFill="1" applyBorder="1" applyAlignment="1">
      <alignment horizontal="center" vertical="center" wrapText="1"/>
    </xf>
    <xf numFmtId="0" fontId="27" fillId="11" borderId="28" xfId="6" applyFont="1" applyFill="1" applyBorder="1" applyAlignment="1">
      <alignment horizontal="center" vertical="center"/>
    </xf>
    <xf numFmtId="0" fontId="27" fillId="11" borderId="25" xfId="6" applyFont="1" applyFill="1" applyBorder="1" applyAlignment="1">
      <alignment horizontal="center" vertical="center" wrapText="1"/>
    </xf>
    <xf numFmtId="0" fontId="27" fillId="11" borderId="25" xfId="6" applyFont="1" applyFill="1" applyBorder="1" applyAlignment="1">
      <alignment horizontal="center" vertical="center"/>
    </xf>
    <xf numFmtId="0" fontId="27" fillId="11" borderId="32" xfId="6" applyFont="1" applyFill="1" applyBorder="1" applyAlignment="1">
      <alignment horizontal="center" vertical="center" wrapText="1"/>
    </xf>
    <xf numFmtId="0" fontId="27" fillId="11" borderId="32" xfId="6" applyFont="1" applyFill="1" applyBorder="1" applyAlignment="1">
      <alignment horizontal="center" vertical="center"/>
    </xf>
    <xf numFmtId="0" fontId="27" fillId="11" borderId="34" xfId="6" applyFont="1" applyFill="1" applyBorder="1" applyAlignment="1">
      <alignment horizontal="center" vertical="center" wrapText="1"/>
    </xf>
    <xf numFmtId="0" fontId="27" fillId="11" borderId="34" xfId="6" applyFont="1" applyFill="1" applyBorder="1" applyAlignment="1">
      <alignment horizontal="center" vertical="center"/>
    </xf>
    <xf numFmtId="0" fontId="30" fillId="12" borderId="38" xfId="6" applyFont="1" applyFill="1" applyBorder="1" applyAlignment="1">
      <alignment horizontal="left" vertical="center"/>
    </xf>
    <xf numFmtId="0" fontId="21" fillId="3" borderId="10" xfId="6" applyFont="1" applyFill="1" applyBorder="1" applyAlignment="1">
      <alignment horizontal="center" vertical="center"/>
    </xf>
    <xf numFmtId="0" fontId="19" fillId="7" borderId="0" xfId="6" applyFont="1" applyFill="1" applyAlignment="1">
      <alignment horizontal="center" vertical="center"/>
    </xf>
    <xf numFmtId="178" fontId="22" fillId="15" borderId="17" xfId="6" applyNumberFormat="1" applyFont="1" applyFill="1" applyBorder="1" applyAlignment="1">
      <alignment horizontal="center" vertical="center"/>
    </xf>
    <xf numFmtId="0" fontId="15" fillId="11" borderId="0" xfId="6" applyFont="1" applyFill="1" applyBorder="1" applyAlignment="1">
      <alignment horizontal="center" vertical="center" wrapText="1"/>
    </xf>
    <xf numFmtId="0" fontId="27" fillId="11" borderId="41" xfId="6" applyFont="1" applyFill="1" applyBorder="1" applyAlignment="1">
      <alignment horizontal="center" vertical="center" wrapText="1"/>
    </xf>
    <xf numFmtId="0" fontId="15" fillId="11" borderId="10" xfId="6" applyFont="1" applyFill="1" applyBorder="1" applyAlignment="1">
      <alignment horizontal="center" vertical="center" wrapText="1"/>
    </xf>
    <xf numFmtId="0" fontId="17" fillId="10" borderId="36" xfId="6" applyFont="1" applyFill="1" applyBorder="1" applyAlignment="1">
      <alignment horizontal="center" vertical="center"/>
    </xf>
    <xf numFmtId="0" fontId="17" fillId="10" borderId="42" xfId="6" applyFont="1" applyFill="1" applyBorder="1" applyAlignment="1">
      <alignment horizontal="center" vertical="center"/>
    </xf>
    <xf numFmtId="0" fontId="27" fillId="11" borderId="43" xfId="6" applyFont="1" applyFill="1" applyBorder="1" applyAlignment="1">
      <alignment horizontal="center" vertical="center" wrapText="1"/>
    </xf>
    <xf numFmtId="0" fontId="27" fillId="0" borderId="44" xfId="6" applyFont="1" applyBorder="1" applyAlignment="1">
      <alignment horizontal="center" vertical="center" wrapText="1"/>
    </xf>
    <xf numFmtId="0" fontId="27" fillId="0" borderId="45" xfId="6" applyFont="1" applyBorder="1" applyAlignment="1">
      <alignment horizontal="center" vertical="center" wrapText="1"/>
    </xf>
    <xf numFmtId="0" fontId="27" fillId="0" borderId="46" xfId="6" applyFont="1" applyBorder="1" applyAlignment="1">
      <alignment horizontal="center" vertical="center" wrapText="1"/>
    </xf>
    <xf numFmtId="0" fontId="27" fillId="11" borderId="47" xfId="6" applyFont="1" applyFill="1" applyBorder="1" applyAlignment="1">
      <alignment horizontal="center" vertical="center" wrapText="1"/>
    </xf>
    <xf numFmtId="0" fontId="27" fillId="11" borderId="48" xfId="6" applyFont="1" applyFill="1" applyBorder="1" applyAlignment="1">
      <alignment horizontal="center" vertical="center" wrapText="1"/>
    </xf>
    <xf numFmtId="0" fontId="27" fillId="11" borderId="49" xfId="6" applyFont="1" applyFill="1" applyBorder="1" applyAlignment="1">
      <alignment horizontal="center" vertical="center" wrapText="1"/>
    </xf>
    <xf numFmtId="0" fontId="27" fillId="11" borderId="50" xfId="6" applyFont="1" applyFill="1" applyBorder="1" applyAlignment="1">
      <alignment horizontal="center" vertical="center" wrapText="1"/>
    </xf>
    <xf numFmtId="9" fontId="20" fillId="11" borderId="51" xfId="6" applyNumberFormat="1" applyFont="1" applyFill="1" applyBorder="1" applyAlignment="1">
      <alignment horizontal="center" vertical="center"/>
    </xf>
    <xf numFmtId="9" fontId="17" fillId="11" borderId="51" xfId="6" applyNumberFormat="1" applyFont="1" applyFill="1" applyBorder="1" applyAlignment="1">
      <alignment horizontal="center" vertical="center"/>
    </xf>
    <xf numFmtId="9" fontId="19" fillId="11" borderId="51" xfId="6" applyNumberFormat="1" applyFont="1" applyFill="1" applyBorder="1" applyAlignment="1">
      <alignment horizontal="center" vertical="center"/>
    </xf>
    <xf numFmtId="9" fontId="20" fillId="11" borderId="52" xfId="6" applyNumberFormat="1" applyFont="1" applyFill="1" applyBorder="1" applyAlignment="1">
      <alignment horizontal="center" vertical="center"/>
    </xf>
    <xf numFmtId="9" fontId="17" fillId="11" borderId="52" xfId="6" applyNumberFormat="1" applyFont="1" applyFill="1" applyBorder="1" applyAlignment="1">
      <alignment horizontal="center" vertical="center"/>
    </xf>
    <xf numFmtId="9" fontId="19" fillId="11" borderId="52" xfId="6" applyNumberFormat="1" applyFont="1" applyFill="1" applyBorder="1" applyAlignment="1">
      <alignment horizontal="center" vertical="center"/>
    </xf>
    <xf numFmtId="0" fontId="25" fillId="14" borderId="54" xfId="6" applyFont="1" applyFill="1" applyBorder="1" applyAlignment="1">
      <alignment horizontal="left" vertical="center"/>
    </xf>
    <xf numFmtId="0" fontId="25" fillId="0" borderId="54" xfId="6" applyFont="1" applyBorder="1" applyAlignment="1">
      <alignment horizontal="left" vertical="center"/>
    </xf>
    <xf numFmtId="0" fontId="25" fillId="14" borderId="56" xfId="6" applyFont="1" applyFill="1" applyBorder="1" applyAlignment="1">
      <alignment horizontal="left" vertical="center"/>
    </xf>
    <xf numFmtId="0" fontId="25" fillId="0" borderId="56" xfId="6" applyFont="1" applyBorder="1" applyAlignment="1">
      <alignment horizontal="left" vertical="center"/>
    </xf>
    <xf numFmtId="0" fontId="24" fillId="14" borderId="56" xfId="6" applyFont="1" applyFill="1" applyBorder="1" applyAlignment="1">
      <alignment horizontal="center" vertical="center"/>
    </xf>
    <xf numFmtId="0" fontId="25" fillId="0" borderId="55" xfId="6" applyFont="1" applyBorder="1" applyAlignment="1">
      <alignment horizontal="left" vertical="center"/>
    </xf>
    <xf numFmtId="0" fontId="24" fillId="0" borderId="56" xfId="6" applyFont="1" applyBorder="1" applyAlignment="1">
      <alignment horizontal="center" vertical="center"/>
    </xf>
    <xf numFmtId="0" fontId="28" fillId="0" borderId="56" xfId="6" applyFont="1" applyBorder="1" applyAlignment="1">
      <alignment horizontal="left" vertical="center"/>
    </xf>
    <xf numFmtId="0" fontId="25" fillId="0" borderId="57" xfId="6" applyFont="1" applyBorder="1" applyAlignment="1">
      <alignment horizontal="left" vertical="center"/>
    </xf>
    <xf numFmtId="0" fontId="25" fillId="0" borderId="58" xfId="6" applyFont="1" applyBorder="1" applyAlignment="1">
      <alignment horizontal="left" vertical="center"/>
    </xf>
    <xf numFmtId="0" fontId="24" fillId="0" borderId="58" xfId="6" applyFont="1" applyBorder="1" applyAlignment="1">
      <alignment horizontal="center" vertical="center"/>
    </xf>
    <xf numFmtId="0" fontId="29" fillId="0" borderId="58" xfId="6" applyFont="1" applyBorder="1" applyAlignment="1">
      <alignment horizontal="center" vertical="center"/>
    </xf>
    <xf numFmtId="0" fontId="28" fillId="0" borderId="58" xfId="6" applyFont="1" applyBorder="1" applyAlignment="1">
      <alignment horizontal="left" vertical="center"/>
    </xf>
    <xf numFmtId="0" fontId="25" fillId="0" borderId="53" xfId="6" applyFont="1" applyBorder="1" applyAlignment="1">
      <alignment horizontal="left" vertical="center"/>
    </xf>
    <xf numFmtId="0" fontId="28" fillId="0" borderId="55" xfId="6" applyFont="1" applyBorder="1" applyAlignment="1">
      <alignment horizontal="left" vertical="center"/>
    </xf>
    <xf numFmtId="0" fontId="24" fillId="0" borderId="55" xfId="6" applyFont="1" applyBorder="1" applyAlignment="1">
      <alignment horizontal="center" vertical="center"/>
    </xf>
    <xf numFmtId="0" fontId="25" fillId="0" borderId="59" xfId="6" applyFont="1" applyBorder="1" applyAlignment="1">
      <alignment horizontal="left" vertical="center"/>
    </xf>
    <xf numFmtId="0" fontId="25" fillId="0" borderId="60" xfId="6" applyFont="1" applyBorder="1" applyAlignment="1">
      <alignment horizontal="left" vertical="center"/>
    </xf>
    <xf numFmtId="0" fontId="25" fillId="0" borderId="61" xfId="6" applyFont="1" applyBorder="1" applyAlignment="1">
      <alignment horizontal="left" vertical="center"/>
    </xf>
    <xf numFmtId="0" fontId="25" fillId="0" borderId="62" xfId="6" applyFont="1" applyBorder="1" applyAlignment="1">
      <alignment horizontal="left" vertical="center"/>
    </xf>
    <xf numFmtId="0" fontId="28" fillId="0" borderId="61" xfId="6" applyFont="1" applyBorder="1" applyAlignment="1">
      <alignment horizontal="left" vertical="center"/>
    </xf>
    <xf numFmtId="0" fontId="28" fillId="0" borderId="62" xfId="6" applyFont="1" applyBorder="1" applyAlignment="1">
      <alignment horizontal="left" vertical="center"/>
    </xf>
    <xf numFmtId="0" fontId="24" fillId="0" borderId="61" xfId="6" applyFont="1" applyBorder="1" applyAlignment="1">
      <alignment horizontal="center" vertical="center"/>
    </xf>
    <xf numFmtId="0" fontId="24" fillId="0" borderId="62" xfId="6" applyFont="1" applyBorder="1" applyAlignment="1">
      <alignment horizontal="center" vertical="center"/>
    </xf>
    <xf numFmtId="9" fontId="19" fillId="11" borderId="63" xfId="6" applyNumberFormat="1" applyFont="1" applyFill="1" applyBorder="1" applyAlignment="1">
      <alignment horizontal="center" vertical="center"/>
    </xf>
    <xf numFmtId="9" fontId="19" fillId="11" borderId="64" xfId="6" applyNumberFormat="1" applyFont="1" applyFill="1" applyBorder="1" applyAlignment="1">
      <alignment horizontal="center" vertical="center"/>
    </xf>
    <xf numFmtId="9" fontId="19" fillId="11" borderId="65" xfId="6" applyNumberFormat="1" applyFont="1" applyFill="1" applyBorder="1" applyAlignment="1">
      <alignment horizontal="center" vertical="center"/>
    </xf>
    <xf numFmtId="9" fontId="30" fillId="12" borderId="12" xfId="6" applyNumberFormat="1" applyFont="1" applyFill="1" applyBorder="1" applyAlignment="1">
      <alignment horizontal="center" vertical="center"/>
    </xf>
    <xf numFmtId="0" fontId="24" fillId="14" borderId="59" xfId="6" applyFont="1" applyFill="1" applyBorder="1" applyAlignment="1">
      <alignment horizontal="center" vertical="center"/>
    </xf>
    <xf numFmtId="0" fontId="24" fillId="14" borderId="61" xfId="6" applyFont="1" applyFill="1" applyBorder="1" applyAlignment="1">
      <alignment horizontal="center" vertical="center"/>
    </xf>
    <xf numFmtId="0" fontId="25" fillId="14" borderId="61" xfId="6" applyFont="1" applyFill="1" applyBorder="1" applyAlignment="1">
      <alignment horizontal="left" vertical="center"/>
    </xf>
    <xf numFmtId="0" fontId="29" fillId="0" borderId="62" xfId="6" applyFont="1" applyBorder="1" applyAlignment="1">
      <alignment horizontal="center" vertical="center"/>
    </xf>
    <xf numFmtId="0" fontId="25" fillId="14" borderId="71" xfId="6" applyFont="1" applyFill="1" applyBorder="1" applyAlignment="1">
      <alignment horizontal="left" vertical="center"/>
    </xf>
    <xf numFmtId="0" fontId="24" fillId="14" borderId="72" xfId="6" applyFont="1" applyFill="1" applyBorder="1" applyAlignment="1">
      <alignment horizontal="center" vertical="center"/>
    </xf>
    <xf numFmtId="0" fontId="25" fillId="0" borderId="73" xfId="6" applyFont="1" applyBorder="1" applyAlignment="1">
      <alignment horizontal="left" vertical="center"/>
    </xf>
    <xf numFmtId="0" fontId="25" fillId="0" borderId="71" xfId="6" applyFont="1" applyBorder="1" applyAlignment="1">
      <alignment horizontal="left" vertical="center"/>
    </xf>
    <xf numFmtId="0" fontId="25" fillId="0" borderId="72" xfId="6" applyFont="1" applyBorder="1" applyAlignment="1">
      <alignment horizontal="left" vertical="center"/>
    </xf>
    <xf numFmtId="0" fontId="25" fillId="0" borderId="74" xfId="6" applyFont="1" applyBorder="1" applyAlignment="1">
      <alignment horizontal="left" vertical="center"/>
    </xf>
    <xf numFmtId="0" fontId="25" fillId="0" borderId="75" xfId="6" applyFont="1" applyBorder="1" applyAlignment="1">
      <alignment horizontal="left" vertical="center"/>
    </xf>
    <xf numFmtId="0" fontId="24" fillId="14" borderId="66" xfId="6" applyFont="1" applyFill="1" applyBorder="1" applyAlignment="1">
      <alignment horizontal="center" vertical="center"/>
    </xf>
    <xf numFmtId="0" fontId="25" fillId="14" borderId="67" xfId="6" applyFont="1" applyFill="1" applyBorder="1" applyAlignment="1">
      <alignment horizontal="left" vertical="center"/>
    </xf>
    <xf numFmtId="0" fontId="25" fillId="0" borderId="68" xfId="6" applyFont="1" applyBorder="1" applyAlignment="1">
      <alignment horizontal="left" vertical="center"/>
    </xf>
    <xf numFmtId="0" fontId="25" fillId="0" borderId="66" xfId="6" applyFont="1" applyBorder="1" applyAlignment="1">
      <alignment horizontal="left" vertical="center"/>
    </xf>
    <xf numFmtId="0" fontId="25" fillId="0" borderId="67" xfId="6" applyFont="1" applyBorder="1" applyAlignment="1">
      <alignment horizontal="left" vertical="center"/>
    </xf>
    <xf numFmtId="0" fontId="25" fillId="0" borderId="69" xfId="6" applyFont="1" applyBorder="1" applyAlignment="1">
      <alignment horizontal="left" vertical="center"/>
    </xf>
    <xf numFmtId="0" fontId="25" fillId="0" borderId="70" xfId="6" applyFont="1" applyBorder="1" applyAlignment="1">
      <alignment horizontal="left" vertical="center"/>
    </xf>
    <xf numFmtId="0" fontId="24" fillId="0" borderId="73" xfId="6" applyFont="1" applyBorder="1" applyAlignment="1">
      <alignment horizontal="center" vertical="center"/>
    </xf>
    <xf numFmtId="0" fontId="25" fillId="14" borderId="66" xfId="6" applyFont="1" applyFill="1" applyBorder="1" applyAlignment="1">
      <alignment horizontal="left" vertical="center"/>
    </xf>
    <xf numFmtId="0" fontId="24" fillId="14" borderId="67" xfId="6" applyFont="1" applyFill="1" applyBorder="1" applyAlignment="1">
      <alignment horizontal="center" vertical="center"/>
    </xf>
    <xf numFmtId="0" fontId="24" fillId="0" borderId="68" xfId="6" applyFont="1" applyBorder="1" applyAlignment="1">
      <alignment horizontal="center" vertical="center"/>
    </xf>
    <xf numFmtId="0" fontId="24" fillId="0" borderId="66" xfId="6" applyFont="1" applyBorder="1" applyAlignment="1">
      <alignment horizontal="center" vertical="center"/>
    </xf>
    <xf numFmtId="0" fontId="24" fillId="0" borderId="67" xfId="6" applyFont="1" applyBorder="1" applyAlignment="1">
      <alignment horizontal="center" vertical="center"/>
    </xf>
    <xf numFmtId="0" fontId="24" fillId="0" borderId="69" xfId="6" applyFont="1" applyBorder="1" applyAlignment="1">
      <alignment horizontal="center" vertical="center"/>
    </xf>
    <xf numFmtId="0" fontId="24" fillId="0" borderId="70" xfId="6" applyFont="1" applyBorder="1" applyAlignment="1">
      <alignment horizontal="center" vertical="center"/>
    </xf>
    <xf numFmtId="0" fontId="25" fillId="0" borderId="76" xfId="6" applyFont="1" applyBorder="1" applyAlignment="1">
      <alignment horizontal="left" vertical="center"/>
    </xf>
    <xf numFmtId="0" fontId="25" fillId="0" borderId="77" xfId="6" applyFont="1" applyBorder="1" applyAlignment="1">
      <alignment horizontal="left" vertical="center"/>
    </xf>
    <xf numFmtId="0" fontId="25" fillId="0" borderId="78" xfId="6" applyFont="1" applyBorder="1" applyAlignment="1">
      <alignment horizontal="left" vertical="center"/>
    </xf>
    <xf numFmtId="0" fontId="25" fillId="0" borderId="79" xfId="6" applyFont="1" applyBorder="1" applyAlignment="1">
      <alignment horizontal="left" vertical="center"/>
    </xf>
    <xf numFmtId="0" fontId="25" fillId="0" borderId="80" xfId="6" applyFont="1" applyBorder="1" applyAlignment="1">
      <alignment horizontal="left" vertical="center"/>
    </xf>
    <xf numFmtId="0" fontId="24" fillId="0" borderId="79" xfId="6" applyFont="1" applyBorder="1" applyAlignment="1">
      <alignment horizontal="center" vertical="center"/>
    </xf>
    <xf numFmtId="9" fontId="30" fillId="12" borderId="12" xfId="6" applyNumberFormat="1" applyFont="1" applyFill="1" applyBorder="1" applyAlignment="1">
      <alignment horizontal="center" vertical="center"/>
    </xf>
    <xf numFmtId="9" fontId="30" fillId="12" borderId="13" xfId="6" applyNumberFormat="1" applyFont="1" applyFill="1" applyBorder="1" applyAlignment="1">
      <alignment horizontal="center" vertical="center"/>
    </xf>
  </cellXfs>
  <cellStyles count="7">
    <cellStyle name="Comma" xfId="1" xr:uid="{00000000-0005-0000-0000-000001000000}"/>
    <cellStyle name="Comma [0]" xfId="2" xr:uid="{00000000-0005-0000-0000-000002000000}"/>
    <cellStyle name="Currency" xfId="3" xr:uid="{00000000-0005-0000-0000-000003000000}"/>
    <cellStyle name="Currency [0]" xfId="4" xr:uid="{00000000-0005-0000-0000-000004000000}"/>
    <cellStyle name="Normal" xfId="6" xr:uid="{00000000-0005-0000-0000-000000000000}"/>
    <cellStyle name="Percent" xfId="5" xr:uid="{00000000-0005-0000-0000-000005000000}"/>
    <cellStyle name="표준" xfId="0" builtinId="0"/>
  </cellStyles>
  <dxfs count="3">
    <dxf>
      <fill>
        <patternFill>
          <bgColor rgb="FF00FFFF"/>
        </patternFill>
      </fill>
    </dxf>
    <dxf>
      <fill>
        <patternFill>
          <bgColor rgb="FF0000FF"/>
        </patternFill>
      </fill>
    </dxf>
    <dxf>
      <font>
        <color rgb="FFFFFFFF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595959"/>
      <rgbColor rgb="FF9999FF"/>
      <rgbColor rgb="FF993366"/>
      <rgbColor rgb="FFF8F8F8"/>
      <rgbColor rgb="FFEFEFEF"/>
      <rgbColor rgb="FF660066"/>
      <rgbColor rgb="FFFF8080"/>
      <rgbColor rgb="FF0066CC"/>
      <rgbColor rgb="FFCCCC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3F3"/>
      <rgbColor rgb="FFD9D9D9"/>
      <rgbColor rgb="FFFFFF99"/>
      <rgbColor rgb="FF99CCFF"/>
      <rgbColor rgb="FFFF99CC"/>
      <rgbColor rgb="FFCC99FF"/>
      <rgbColor rgb="FFFFCC99"/>
      <rgbColor rgb="FF4A86E8"/>
      <rgbColor rgb="FF33CCCC"/>
      <rgbColor rgb="FF99CC00"/>
      <rgbColor rgb="FFFFCC00"/>
      <rgbColor rgb="FFFF9900"/>
      <rgbColor rgb="FFEA4335"/>
      <rgbColor rgb="FF666666"/>
      <rgbColor rgb="FF999999"/>
      <rgbColor rgb="FF434343"/>
      <rgbColor rgb="FF339966"/>
      <rgbColor rgb="FF003300"/>
      <rgbColor rgb="FF404040"/>
      <rgbColor rgb="FF993300"/>
      <rgbColor rgb="FF993366"/>
      <rgbColor rgb="FF1F4E78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/>
        </a:gradFill>
      </a:fillStyleLst>
      <a:lnStyleLst>
        <a:ln w="6350">
          <a:prstDash val="solid"/>
        </a:ln>
        <a:ln w="12700">
          <a:prstDash val="solid"/>
        </a:ln>
        <a:ln w="1905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AE1006"/>
  <sheetViews>
    <sheetView showGridLines="0" tabSelected="1" zoomScale="85" zoomScaleNormal="85" workbookViewId="0">
      <pane xSplit="6" ySplit="5" topLeftCell="R33" activePane="bottomRight" state="frozen"/>
      <selection pane="topRight"/>
      <selection pane="bottomLeft"/>
      <selection pane="bottomRight" activeCell="T44" sqref="T44"/>
    </sheetView>
  </sheetViews>
  <sheetFormatPr defaultColWidth="12.5703125" defaultRowHeight="12.75"/>
  <cols>
    <col min="1" max="1" width="1.28515625" customWidth="1"/>
    <col min="2" max="2" width="4.42578125" customWidth="1"/>
    <col min="3" max="3" width="11.85546875" style="51" customWidth="1"/>
    <col min="4" max="4" width="16" style="51" customWidth="1"/>
    <col min="5" max="5" width="12" style="51" customWidth="1"/>
    <col min="6" max="6" width="34" style="51" customWidth="1"/>
    <col min="7" max="7" width="16.28515625" style="51" customWidth="1"/>
    <col min="8" max="9" width="9" customWidth="1"/>
    <col min="10" max="10" width="54.85546875" customWidth="1"/>
    <col min="11" max="21" width="16.5703125" customWidth="1"/>
    <col min="22" max="22" width="15.5703125" customWidth="1"/>
    <col min="23" max="31" width="5" customWidth="1"/>
  </cols>
  <sheetData>
    <row r="1" spans="1:31" ht="35.25" customHeight="1">
      <c r="A1" s="11"/>
      <c r="B1" s="13" t="s">
        <v>23</v>
      </c>
      <c r="C1" s="49"/>
      <c r="D1" s="49"/>
      <c r="E1" s="49"/>
      <c r="F1" s="49"/>
      <c r="G1" s="49"/>
      <c r="H1" s="14"/>
      <c r="I1" s="14"/>
      <c r="J1" s="14"/>
      <c r="K1" s="15" t="s">
        <v>0</v>
      </c>
      <c r="L1" s="16">
        <v>46302</v>
      </c>
      <c r="M1" s="17"/>
      <c r="N1" s="17"/>
      <c r="O1" s="108"/>
      <c r="P1" s="108"/>
      <c r="Q1" s="108"/>
      <c r="R1" s="17"/>
      <c r="S1" s="17"/>
      <c r="T1" s="18" t="s">
        <v>1</v>
      </c>
      <c r="U1" s="19">
        <f>U5/S5</f>
        <v>1.8499999999999999</v>
      </c>
      <c r="V1" s="20" t="str">
        <f>IF(U1&lt;0.75,"(위험)",IF(U1&lt;0.85,"(경고)",IF(U1&lt;0.95,"(주의)","(양호)")))</f>
        <v>(양호)</v>
      </c>
      <c r="W1" s="21"/>
      <c r="X1" s="21"/>
      <c r="Y1" s="21"/>
      <c r="Z1" s="21"/>
      <c r="AA1" s="21"/>
      <c r="AB1" s="21"/>
      <c r="AC1" s="21"/>
      <c r="AD1" s="21"/>
      <c r="AE1" s="21"/>
    </row>
    <row r="2" spans="1:31" ht="6" customHeight="1">
      <c r="A2" s="12"/>
      <c r="B2" s="22"/>
      <c r="C2" s="50"/>
      <c r="D2" s="50"/>
      <c r="E2" s="24"/>
      <c r="F2" s="24"/>
      <c r="G2" s="24"/>
      <c r="H2" s="24"/>
      <c r="I2" s="24"/>
      <c r="J2" s="23"/>
      <c r="K2" s="23"/>
      <c r="L2" s="23"/>
      <c r="M2" s="24"/>
      <c r="N2" s="24"/>
      <c r="O2" s="24"/>
      <c r="P2" s="24"/>
      <c r="Q2" s="24"/>
      <c r="R2" s="25"/>
      <c r="S2" s="26"/>
      <c r="T2" s="27"/>
      <c r="U2" s="27"/>
      <c r="V2" s="27"/>
      <c r="W2" s="21"/>
      <c r="X2" s="21"/>
      <c r="Y2" s="21"/>
      <c r="Z2" s="21"/>
      <c r="AA2" s="21"/>
      <c r="AB2" s="21"/>
      <c r="AC2" s="21"/>
      <c r="AD2" s="21"/>
      <c r="AE2" s="21"/>
    </row>
    <row r="3" spans="1:31" ht="21" customHeight="1">
      <c r="A3" s="1"/>
      <c r="B3" s="109" t="s">
        <v>2</v>
      </c>
      <c r="C3" s="109"/>
      <c r="D3" s="109"/>
      <c r="E3" s="109"/>
      <c r="F3" s="110" t="s">
        <v>3</v>
      </c>
      <c r="G3" s="110"/>
      <c r="H3" s="111" t="s">
        <v>4</v>
      </c>
      <c r="I3" s="111"/>
      <c r="J3" s="112" t="s">
        <v>5</v>
      </c>
      <c r="K3" s="114" t="s">
        <v>6</v>
      </c>
      <c r="L3" s="114" t="s">
        <v>7</v>
      </c>
      <c r="M3" s="114" t="s">
        <v>8</v>
      </c>
      <c r="N3" s="114" t="s">
        <v>9</v>
      </c>
      <c r="O3" s="114" t="s">
        <v>10</v>
      </c>
      <c r="P3" s="114" t="s">
        <v>11</v>
      </c>
      <c r="Q3" s="114" t="s">
        <v>12</v>
      </c>
      <c r="R3" s="116" t="s">
        <v>13</v>
      </c>
      <c r="S3" s="117" t="s">
        <v>14</v>
      </c>
      <c r="T3" s="118" t="s">
        <v>15</v>
      </c>
      <c r="U3" s="119" t="s">
        <v>16</v>
      </c>
      <c r="V3" s="119"/>
      <c r="W3" s="131" t="s">
        <v>24</v>
      </c>
      <c r="X3" s="131"/>
      <c r="Y3" s="131"/>
      <c r="Z3" s="131"/>
      <c r="AA3" s="131"/>
      <c r="AB3" s="131"/>
      <c r="AC3" s="131"/>
      <c r="AD3" s="131"/>
      <c r="AE3" s="131"/>
    </row>
    <row r="4" spans="1:31" ht="18.75" customHeight="1">
      <c r="A4" s="1"/>
      <c r="B4" s="109"/>
      <c r="C4" s="109"/>
      <c r="D4" s="109"/>
      <c r="E4" s="109"/>
      <c r="F4" s="110"/>
      <c r="G4" s="110"/>
      <c r="H4" s="110" t="s">
        <v>25</v>
      </c>
      <c r="I4" s="113" t="s">
        <v>26</v>
      </c>
      <c r="J4" s="112"/>
      <c r="K4" s="114"/>
      <c r="L4" s="114"/>
      <c r="M4" s="114"/>
      <c r="N4" s="114"/>
      <c r="O4" s="114"/>
      <c r="P4" s="114"/>
      <c r="Q4" s="114"/>
      <c r="R4" s="116"/>
      <c r="S4" s="117"/>
      <c r="T4" s="118"/>
      <c r="U4" s="52" t="s">
        <v>17</v>
      </c>
      <c r="V4" s="52" t="s">
        <v>18</v>
      </c>
      <c r="W4" s="132" t="s">
        <v>27</v>
      </c>
      <c r="X4" s="132"/>
      <c r="Y4" s="132"/>
      <c r="Z4" s="132"/>
      <c r="AA4" s="132"/>
      <c r="AB4" s="132"/>
      <c r="AC4" s="132"/>
      <c r="AD4" s="132"/>
      <c r="AE4" s="132"/>
    </row>
    <row r="5" spans="1:31" ht="18" customHeight="1">
      <c r="A5" s="1"/>
      <c r="B5" s="53"/>
      <c r="C5" s="54" t="s">
        <v>19</v>
      </c>
      <c r="D5" s="115" t="s">
        <v>20</v>
      </c>
      <c r="E5" s="115"/>
      <c r="F5" s="110"/>
      <c r="G5" s="110"/>
      <c r="H5" s="110"/>
      <c r="I5" s="113"/>
      <c r="J5" s="113"/>
      <c r="K5" s="55">
        <f>MIN(K6:K56)</f>
        <v>46301</v>
      </c>
      <c r="L5" s="55">
        <f>MAX(L6:L56)</f>
        <v>46309</v>
      </c>
      <c r="M5" s="55">
        <f>MIN(M6:M56)</f>
        <v>46301</v>
      </c>
      <c r="N5" s="55">
        <f>MAX(N6:N56)</f>
        <v>46302</v>
      </c>
      <c r="O5" s="56">
        <f t="shared" ref="O5:T5" si="0">O57</f>
        <v>37</v>
      </c>
      <c r="P5" s="56">
        <f t="shared" si="0"/>
        <v>3</v>
      </c>
      <c r="Q5" s="56">
        <f t="shared" si="0"/>
        <v>3</v>
      </c>
      <c r="R5" s="56">
        <f t="shared" si="0"/>
        <v>3</v>
      </c>
      <c r="S5" s="57">
        <f t="shared" si="0"/>
        <v>8.1081081081081086E-2</v>
      </c>
      <c r="T5" s="57">
        <f t="shared" si="0"/>
        <v>8.1081081081081086E-2</v>
      </c>
      <c r="U5" s="58">
        <f>(AVERAGE(U6:U8)*C6)+(AVERAGE(U12:U15)*C12)+(AVERAGE(U18:U31)*C18)+(AVERAGE(U47:U49)*C47)+(AVERAGE(U52:U54)*C52)</f>
        <v>0.15</v>
      </c>
      <c r="V5" s="58">
        <f t="shared" ref="V5:W57" si="1">U5-S5</f>
        <v>6.8918918918918909E-2</v>
      </c>
      <c r="W5" s="28">
        <v>46301</v>
      </c>
      <c r="X5" s="28">
        <v>46302</v>
      </c>
      <c r="Y5" s="28">
        <v>46303</v>
      </c>
      <c r="Z5" s="133">
        <v>46304</v>
      </c>
      <c r="AA5" s="133">
        <v>46305</v>
      </c>
      <c r="AB5" s="133">
        <v>11</v>
      </c>
      <c r="AC5" s="28">
        <v>12</v>
      </c>
      <c r="AD5" s="28">
        <v>13</v>
      </c>
      <c r="AE5" s="28">
        <v>14</v>
      </c>
    </row>
    <row r="6" spans="1:31" ht="30" customHeight="1">
      <c r="A6" s="2"/>
      <c r="B6" s="29">
        <v>1</v>
      </c>
      <c r="C6" s="59">
        <v>0.15</v>
      </c>
      <c r="D6" s="60" t="s">
        <v>28</v>
      </c>
      <c r="E6" s="136" t="s">
        <v>29</v>
      </c>
      <c r="F6" s="120" t="s">
        <v>30</v>
      </c>
      <c r="G6" s="121"/>
      <c r="H6" s="61" t="s">
        <v>82</v>
      </c>
      <c r="I6" s="62" t="s">
        <v>83</v>
      </c>
      <c r="J6" s="63" t="s">
        <v>31</v>
      </c>
      <c r="K6" s="34">
        <v>46301</v>
      </c>
      <c r="L6" s="34">
        <v>46301</v>
      </c>
      <c r="M6" s="34">
        <v>46301</v>
      </c>
      <c r="N6" s="34">
        <v>46301</v>
      </c>
      <c r="O6" s="64">
        <f t="shared" ref="O6:O56" si="2">IF(OR(K6="",L6=""),0,L6-K6+1)</f>
        <v>1</v>
      </c>
      <c r="P6" s="65">
        <f t="shared" ref="P6:P56" si="3">IF(OR(M6="",N6=""),0,N6-M6+1)</f>
        <v>1</v>
      </c>
      <c r="Q6" s="62">
        <f t="shared" ref="Q6:Q56" si="4">IF(O6=0,0,MAX(0,MIN(O6,$L$1-K6+1)))</f>
        <v>1</v>
      </c>
      <c r="R6" s="66">
        <f t="shared" ref="R6:R56" si="5">IF(P6=0,0,MIN(P6,O6))</f>
        <v>1</v>
      </c>
      <c r="S6" s="67">
        <f t="shared" ref="S6:S57" si="6">IFERROR(Q6/O6,0)</f>
        <v>1</v>
      </c>
      <c r="T6" s="68">
        <f t="shared" ref="T6:T57" si="7">IFERROR(R6/O6,0)</f>
        <v>1</v>
      </c>
      <c r="U6" s="69">
        <f t="shared" ref="U6:U56" si="8">IF(OR(O6=0,R6=0),0,MIN(1,R6/O6))</f>
        <v>1</v>
      </c>
      <c r="V6" s="177">
        <f t="shared" si="1"/>
        <v>0</v>
      </c>
      <c r="W6" s="181" t="s">
        <v>32</v>
      </c>
      <c r="X6" s="153"/>
      <c r="Y6" s="161"/>
      <c r="Z6" s="169"/>
      <c r="AA6" s="154"/>
      <c r="AB6" s="170"/>
      <c r="AC6" s="166"/>
      <c r="AD6" s="154"/>
      <c r="AE6" s="170"/>
    </row>
    <row r="7" spans="1:31" ht="30" customHeight="1">
      <c r="A7" s="2"/>
      <c r="B7" s="29"/>
      <c r="C7" s="70"/>
      <c r="D7" s="60"/>
      <c r="E7" s="136" t="s">
        <v>33</v>
      </c>
      <c r="F7" s="120" t="s">
        <v>34</v>
      </c>
      <c r="G7" s="121"/>
      <c r="H7" s="61" t="s">
        <v>82</v>
      </c>
      <c r="I7" s="62" t="s">
        <v>83</v>
      </c>
      <c r="J7" s="63" t="s">
        <v>35</v>
      </c>
      <c r="K7" s="34">
        <v>46301</v>
      </c>
      <c r="L7" s="34">
        <v>46301</v>
      </c>
      <c r="M7" s="34">
        <v>46301</v>
      </c>
      <c r="N7" s="34">
        <v>46301</v>
      </c>
      <c r="O7" s="64">
        <f t="shared" si="2"/>
        <v>1</v>
      </c>
      <c r="P7" s="65">
        <f t="shared" si="3"/>
        <v>1</v>
      </c>
      <c r="Q7" s="62">
        <f t="shared" si="4"/>
        <v>1</v>
      </c>
      <c r="R7" s="66">
        <f t="shared" si="5"/>
        <v>1</v>
      </c>
      <c r="S7" s="67">
        <f t="shared" si="6"/>
        <v>1</v>
      </c>
      <c r="T7" s="68">
        <f t="shared" si="7"/>
        <v>1</v>
      </c>
      <c r="U7" s="69">
        <f t="shared" si="8"/>
        <v>1</v>
      </c>
      <c r="V7" s="177">
        <f t="shared" si="1"/>
        <v>0</v>
      </c>
      <c r="W7" s="182" t="s">
        <v>32</v>
      </c>
      <c r="X7" s="155"/>
      <c r="Y7" s="162"/>
      <c r="Z7" s="171"/>
      <c r="AA7" s="156"/>
      <c r="AB7" s="172"/>
      <c r="AC7" s="158"/>
      <c r="AD7" s="156"/>
      <c r="AE7" s="172"/>
    </row>
    <row r="8" spans="1:31" ht="30" customHeight="1">
      <c r="A8" s="2"/>
      <c r="B8" s="29"/>
      <c r="C8" s="70"/>
      <c r="D8" s="60"/>
      <c r="E8" s="136" t="s">
        <v>36</v>
      </c>
      <c r="F8" s="120" t="s">
        <v>37</v>
      </c>
      <c r="G8" s="121"/>
      <c r="H8" s="61" t="s">
        <v>82</v>
      </c>
      <c r="I8" s="62" t="s">
        <v>83</v>
      </c>
      <c r="J8" s="63" t="s">
        <v>38</v>
      </c>
      <c r="K8" s="34">
        <v>46301</v>
      </c>
      <c r="L8" s="34">
        <v>46301</v>
      </c>
      <c r="M8" s="34">
        <v>46301</v>
      </c>
      <c r="N8" s="34">
        <v>46301</v>
      </c>
      <c r="O8" s="64">
        <f t="shared" si="2"/>
        <v>1</v>
      </c>
      <c r="P8" s="65">
        <f t="shared" si="3"/>
        <v>1</v>
      </c>
      <c r="Q8" s="62">
        <f t="shared" si="4"/>
        <v>1</v>
      </c>
      <c r="R8" s="66">
        <f t="shared" si="5"/>
        <v>1</v>
      </c>
      <c r="S8" s="67">
        <f t="shared" si="6"/>
        <v>1</v>
      </c>
      <c r="T8" s="68">
        <f t="shared" si="7"/>
        <v>1</v>
      </c>
      <c r="U8" s="69">
        <f t="shared" si="8"/>
        <v>1</v>
      </c>
      <c r="V8" s="177">
        <f t="shared" si="1"/>
        <v>0</v>
      </c>
      <c r="W8" s="182" t="s">
        <v>32</v>
      </c>
      <c r="X8" s="155"/>
      <c r="Y8" s="162"/>
      <c r="Z8" s="171"/>
      <c r="AA8" s="156"/>
      <c r="AB8" s="172"/>
      <c r="AC8" s="158"/>
      <c r="AD8" s="156"/>
      <c r="AE8" s="172"/>
    </row>
    <row r="9" spans="1:31" ht="30" customHeight="1">
      <c r="A9" s="2"/>
      <c r="B9" s="29"/>
      <c r="C9" s="70"/>
      <c r="D9" s="60"/>
      <c r="E9" s="136"/>
      <c r="F9" s="120"/>
      <c r="G9" s="121"/>
      <c r="H9" s="61"/>
      <c r="I9" s="62"/>
      <c r="J9" s="63"/>
      <c r="K9" s="34"/>
      <c r="L9" s="34"/>
      <c r="M9" s="34"/>
      <c r="N9" s="34"/>
      <c r="O9" s="64">
        <f t="shared" si="2"/>
        <v>0</v>
      </c>
      <c r="P9" s="65">
        <f t="shared" si="3"/>
        <v>0</v>
      </c>
      <c r="Q9" s="62">
        <f t="shared" si="4"/>
        <v>0</v>
      </c>
      <c r="R9" s="66">
        <f t="shared" si="5"/>
        <v>0</v>
      </c>
      <c r="S9" s="67">
        <f t="shared" si="6"/>
        <v>0</v>
      </c>
      <c r="T9" s="68">
        <f t="shared" si="7"/>
        <v>0</v>
      </c>
      <c r="U9" s="69">
        <f t="shared" si="8"/>
        <v>0</v>
      </c>
      <c r="V9" s="177">
        <f t="shared" si="1"/>
        <v>0</v>
      </c>
      <c r="W9" s="182"/>
      <c r="X9" s="155"/>
      <c r="Y9" s="162"/>
      <c r="Z9" s="171"/>
      <c r="AA9" s="156"/>
      <c r="AB9" s="172"/>
      <c r="AC9" s="158"/>
      <c r="AD9" s="156"/>
      <c r="AE9" s="172"/>
    </row>
    <row r="10" spans="1:31" ht="30" customHeight="1">
      <c r="A10" s="2"/>
      <c r="B10" s="30"/>
      <c r="C10" s="70"/>
      <c r="D10" s="60"/>
      <c r="E10" s="136"/>
      <c r="F10" s="120"/>
      <c r="G10" s="121"/>
      <c r="H10" s="61"/>
      <c r="I10" s="64"/>
      <c r="J10" s="71"/>
      <c r="K10" s="72"/>
      <c r="L10" s="72"/>
      <c r="M10" s="72"/>
      <c r="N10" s="72"/>
      <c r="O10" s="64">
        <f t="shared" si="2"/>
        <v>0</v>
      </c>
      <c r="P10" s="65">
        <f t="shared" si="3"/>
        <v>0</v>
      </c>
      <c r="Q10" s="62">
        <f t="shared" si="4"/>
        <v>0</v>
      </c>
      <c r="R10" s="66">
        <f t="shared" si="5"/>
        <v>0</v>
      </c>
      <c r="S10" s="67">
        <f t="shared" si="6"/>
        <v>0</v>
      </c>
      <c r="T10" s="68">
        <f t="shared" si="7"/>
        <v>0</v>
      </c>
      <c r="U10" s="69">
        <f t="shared" si="8"/>
        <v>0</v>
      </c>
      <c r="V10" s="177">
        <f t="shared" si="1"/>
        <v>0</v>
      </c>
      <c r="W10" s="182"/>
      <c r="X10" s="155"/>
      <c r="Y10" s="162"/>
      <c r="Z10" s="171"/>
      <c r="AA10" s="156"/>
      <c r="AB10" s="172"/>
      <c r="AC10" s="158"/>
      <c r="AD10" s="156"/>
      <c r="AE10" s="172"/>
    </row>
    <row r="11" spans="1:31" ht="30" customHeight="1">
      <c r="A11" s="2"/>
      <c r="B11" s="31"/>
      <c r="C11" s="73"/>
      <c r="D11" s="74"/>
      <c r="E11" s="136"/>
      <c r="F11" s="122"/>
      <c r="G11" s="123"/>
      <c r="H11" s="75"/>
      <c r="I11" s="76"/>
      <c r="J11" s="77"/>
      <c r="K11" s="40"/>
      <c r="L11" s="40"/>
      <c r="M11" s="40"/>
      <c r="N11" s="40"/>
      <c r="O11" s="76">
        <f t="shared" si="2"/>
        <v>0</v>
      </c>
      <c r="P11" s="78">
        <f t="shared" si="3"/>
        <v>0</v>
      </c>
      <c r="Q11" s="79">
        <f t="shared" si="4"/>
        <v>0</v>
      </c>
      <c r="R11" s="80">
        <f t="shared" si="5"/>
        <v>0</v>
      </c>
      <c r="S11" s="67">
        <f t="shared" si="6"/>
        <v>0</v>
      </c>
      <c r="T11" s="68">
        <f t="shared" si="7"/>
        <v>0</v>
      </c>
      <c r="U11" s="69">
        <f t="shared" si="8"/>
        <v>0</v>
      </c>
      <c r="V11" s="177">
        <f t="shared" si="1"/>
        <v>0</v>
      </c>
      <c r="W11" s="192"/>
      <c r="X11" s="193"/>
      <c r="Y11" s="194"/>
      <c r="Z11" s="195"/>
      <c r="AA11" s="196"/>
      <c r="AB11" s="197"/>
      <c r="AC11" s="198"/>
      <c r="AD11" s="196"/>
      <c r="AE11" s="197"/>
    </row>
    <row r="12" spans="1:31" ht="30" customHeight="1">
      <c r="A12" s="2"/>
      <c r="B12" s="32">
        <v>2</v>
      </c>
      <c r="C12" s="81">
        <v>0.15</v>
      </c>
      <c r="D12" s="60" t="s">
        <v>39</v>
      </c>
      <c r="E12" s="136" t="s">
        <v>40</v>
      </c>
      <c r="F12" s="120" t="s">
        <v>41</v>
      </c>
      <c r="G12" s="121"/>
      <c r="H12" s="61" t="s">
        <v>82</v>
      </c>
      <c r="I12" s="62"/>
      <c r="J12" s="82" t="s">
        <v>42</v>
      </c>
      <c r="K12" s="34">
        <v>46302</v>
      </c>
      <c r="L12" s="34">
        <v>46302</v>
      </c>
      <c r="M12" s="34">
        <v>46302</v>
      </c>
      <c r="N12" s="34">
        <v>46302</v>
      </c>
      <c r="O12" s="62">
        <f t="shared" si="2"/>
        <v>1</v>
      </c>
      <c r="P12" s="65"/>
      <c r="Q12" s="62"/>
      <c r="R12" s="66">
        <f t="shared" si="5"/>
        <v>0</v>
      </c>
      <c r="S12" s="67">
        <f t="shared" si="6"/>
        <v>0</v>
      </c>
      <c r="T12" s="68">
        <f t="shared" si="7"/>
        <v>0</v>
      </c>
      <c r="U12" s="69">
        <f t="shared" si="8"/>
        <v>0</v>
      </c>
      <c r="V12" s="177">
        <f t="shared" si="1"/>
        <v>0</v>
      </c>
      <c r="W12" s="185"/>
      <c r="X12" s="186" t="s">
        <v>32</v>
      </c>
      <c r="Y12" s="187"/>
      <c r="Z12" s="188"/>
      <c r="AA12" s="189"/>
      <c r="AB12" s="190"/>
      <c r="AC12" s="191"/>
      <c r="AD12" s="189"/>
      <c r="AE12" s="190"/>
    </row>
    <row r="13" spans="1:31" ht="30" customHeight="1">
      <c r="A13" s="2"/>
      <c r="B13" s="30"/>
      <c r="C13" s="83"/>
      <c r="D13" s="60"/>
      <c r="E13" s="136" t="s">
        <v>43</v>
      </c>
      <c r="F13" s="124" t="s">
        <v>90</v>
      </c>
      <c r="G13" s="125"/>
      <c r="H13" s="84"/>
      <c r="I13" s="64" t="s">
        <v>83</v>
      </c>
      <c r="J13" s="85" t="s">
        <v>44</v>
      </c>
      <c r="K13" s="72">
        <v>46302</v>
      </c>
      <c r="L13" s="72">
        <v>46302</v>
      </c>
      <c r="M13" s="72">
        <v>46302</v>
      </c>
      <c r="N13" s="72">
        <v>46302</v>
      </c>
      <c r="O13" s="62">
        <f t="shared" si="2"/>
        <v>1</v>
      </c>
      <c r="P13" s="65"/>
      <c r="Q13" s="62"/>
      <c r="R13" s="66">
        <f t="shared" si="5"/>
        <v>0</v>
      </c>
      <c r="S13" s="67">
        <f t="shared" si="6"/>
        <v>0</v>
      </c>
      <c r="T13" s="68">
        <f t="shared" si="7"/>
        <v>0</v>
      </c>
      <c r="U13" s="69">
        <f t="shared" si="8"/>
        <v>0</v>
      </c>
      <c r="V13" s="177">
        <f t="shared" si="1"/>
        <v>0</v>
      </c>
      <c r="W13" s="183"/>
      <c r="X13" s="157" t="s">
        <v>32</v>
      </c>
      <c r="Y13" s="162"/>
      <c r="Z13" s="171"/>
      <c r="AA13" s="156"/>
      <c r="AB13" s="172"/>
      <c r="AC13" s="158"/>
      <c r="AD13" s="156"/>
      <c r="AE13" s="172"/>
    </row>
    <row r="14" spans="1:31" ht="30" customHeight="1">
      <c r="A14" s="2"/>
      <c r="B14" s="30"/>
      <c r="C14" s="83"/>
      <c r="D14" s="60"/>
      <c r="E14" s="136" t="s">
        <v>45</v>
      </c>
      <c r="F14" s="124" t="s">
        <v>91</v>
      </c>
      <c r="G14" s="125"/>
      <c r="H14" s="84"/>
      <c r="I14" s="64" t="s">
        <v>83</v>
      </c>
      <c r="J14" s="85" t="s">
        <v>46</v>
      </c>
      <c r="K14" s="72">
        <v>46302</v>
      </c>
      <c r="L14" s="72">
        <v>46302</v>
      </c>
      <c r="M14" s="72">
        <v>46302</v>
      </c>
      <c r="N14" s="72">
        <v>46302</v>
      </c>
      <c r="O14" s="62">
        <f t="shared" si="2"/>
        <v>1</v>
      </c>
      <c r="P14" s="65"/>
      <c r="Q14" s="62"/>
      <c r="R14" s="66">
        <f t="shared" si="5"/>
        <v>0</v>
      </c>
      <c r="S14" s="67">
        <f t="shared" si="6"/>
        <v>0</v>
      </c>
      <c r="T14" s="68">
        <f t="shared" si="7"/>
        <v>0</v>
      </c>
      <c r="U14" s="69">
        <f t="shared" si="8"/>
        <v>0</v>
      </c>
      <c r="V14" s="177">
        <f t="shared" si="1"/>
        <v>0</v>
      </c>
      <c r="W14" s="183"/>
      <c r="X14" s="157" t="s">
        <v>32</v>
      </c>
      <c r="Y14" s="162"/>
      <c r="Z14" s="171"/>
      <c r="AA14" s="156"/>
      <c r="AB14" s="172"/>
      <c r="AC14" s="158"/>
      <c r="AD14" s="156"/>
      <c r="AE14" s="172"/>
    </row>
    <row r="15" spans="1:31" ht="30" customHeight="1">
      <c r="A15" s="2"/>
      <c r="B15" s="30"/>
      <c r="C15" s="83"/>
      <c r="D15" s="60"/>
      <c r="E15" s="136" t="s">
        <v>47</v>
      </c>
      <c r="F15" s="124" t="s">
        <v>48</v>
      </c>
      <c r="G15" s="125"/>
      <c r="H15" s="84" t="s">
        <v>82</v>
      </c>
      <c r="I15" s="64"/>
      <c r="J15" s="85" t="s">
        <v>49</v>
      </c>
      <c r="K15" s="72">
        <v>46302</v>
      </c>
      <c r="L15" s="72">
        <v>46302</v>
      </c>
      <c r="M15" s="72">
        <v>46302</v>
      </c>
      <c r="N15" s="72">
        <v>46302</v>
      </c>
      <c r="O15" s="62">
        <f t="shared" si="2"/>
        <v>1</v>
      </c>
      <c r="P15" s="65"/>
      <c r="Q15" s="64"/>
      <c r="R15" s="66">
        <f t="shared" si="5"/>
        <v>0</v>
      </c>
      <c r="S15" s="67">
        <f t="shared" si="6"/>
        <v>0</v>
      </c>
      <c r="T15" s="68">
        <f t="shared" si="7"/>
        <v>0</v>
      </c>
      <c r="U15" s="69">
        <f t="shared" si="8"/>
        <v>0</v>
      </c>
      <c r="V15" s="177">
        <f t="shared" si="1"/>
        <v>0</v>
      </c>
      <c r="W15" s="183"/>
      <c r="X15" s="157" t="s">
        <v>32</v>
      </c>
      <c r="Y15" s="162"/>
      <c r="Z15" s="171"/>
      <c r="AA15" s="156"/>
      <c r="AB15" s="172"/>
      <c r="AC15" s="158"/>
      <c r="AD15" s="156"/>
      <c r="AE15" s="172"/>
    </row>
    <row r="16" spans="1:31" ht="30" customHeight="1">
      <c r="A16" s="2"/>
      <c r="B16" s="30"/>
      <c r="C16" s="83"/>
      <c r="D16" s="60"/>
      <c r="E16" s="136"/>
      <c r="F16" s="124"/>
      <c r="G16" s="125"/>
      <c r="H16" s="84"/>
      <c r="I16" s="64"/>
      <c r="J16" s="85"/>
      <c r="K16" s="72"/>
      <c r="L16" s="72"/>
      <c r="M16" s="72"/>
      <c r="N16" s="72"/>
      <c r="O16" s="62">
        <f t="shared" si="2"/>
        <v>0</v>
      </c>
      <c r="P16" s="65">
        <f t="shared" si="3"/>
        <v>0</v>
      </c>
      <c r="Q16" s="64">
        <f t="shared" si="4"/>
        <v>0</v>
      </c>
      <c r="R16" s="66">
        <f t="shared" si="5"/>
        <v>0</v>
      </c>
      <c r="S16" s="67">
        <f t="shared" si="6"/>
        <v>0</v>
      </c>
      <c r="T16" s="68">
        <f t="shared" si="7"/>
        <v>0</v>
      </c>
      <c r="U16" s="69">
        <f t="shared" si="8"/>
        <v>0</v>
      </c>
      <c r="V16" s="177">
        <f t="shared" si="1"/>
        <v>0</v>
      </c>
      <c r="W16" s="183"/>
      <c r="X16" s="157"/>
      <c r="Y16" s="162"/>
      <c r="Z16" s="171"/>
      <c r="AA16" s="156"/>
      <c r="AB16" s="172"/>
      <c r="AC16" s="158"/>
      <c r="AD16" s="156"/>
      <c r="AE16" s="172"/>
    </row>
    <row r="17" spans="1:31" ht="30" customHeight="1">
      <c r="A17" s="2"/>
      <c r="B17" s="33"/>
      <c r="C17" s="86"/>
      <c r="D17" s="74"/>
      <c r="E17" s="136"/>
      <c r="F17" s="126"/>
      <c r="G17" s="127"/>
      <c r="H17" s="87"/>
      <c r="I17" s="76"/>
      <c r="J17" s="88"/>
      <c r="K17" s="40"/>
      <c r="L17" s="40"/>
      <c r="M17" s="40"/>
      <c r="N17" s="40"/>
      <c r="O17" s="79">
        <f t="shared" si="2"/>
        <v>0</v>
      </c>
      <c r="P17" s="78">
        <f t="shared" si="3"/>
        <v>0</v>
      </c>
      <c r="Q17" s="76">
        <f t="shared" si="4"/>
        <v>0</v>
      </c>
      <c r="R17" s="80">
        <f t="shared" si="5"/>
        <v>0</v>
      </c>
      <c r="S17" s="67">
        <f t="shared" si="6"/>
        <v>0</v>
      </c>
      <c r="T17" s="68">
        <f t="shared" si="7"/>
        <v>0</v>
      </c>
      <c r="U17" s="69">
        <f t="shared" si="8"/>
        <v>0</v>
      </c>
      <c r="V17" s="177">
        <f t="shared" si="1"/>
        <v>0</v>
      </c>
      <c r="W17" s="200"/>
      <c r="X17" s="201"/>
      <c r="Y17" s="194"/>
      <c r="Z17" s="195"/>
      <c r="AA17" s="196"/>
      <c r="AB17" s="197"/>
      <c r="AC17" s="198"/>
      <c r="AD17" s="196"/>
      <c r="AE17" s="197"/>
    </row>
    <row r="18" spans="1:31" ht="30" customHeight="1">
      <c r="A18" s="2"/>
      <c r="B18" s="30">
        <v>3</v>
      </c>
      <c r="C18" s="81">
        <v>0.4</v>
      </c>
      <c r="D18" s="134" t="s">
        <v>50</v>
      </c>
      <c r="E18" s="136" t="s">
        <v>85</v>
      </c>
      <c r="F18" s="120" t="s">
        <v>84</v>
      </c>
      <c r="G18" s="121"/>
      <c r="H18" s="61"/>
      <c r="I18" s="62" t="s">
        <v>83</v>
      </c>
      <c r="J18" s="82" t="s">
        <v>88</v>
      </c>
      <c r="K18" s="34">
        <v>46303</v>
      </c>
      <c r="L18" s="35">
        <v>46303</v>
      </c>
      <c r="M18" s="34"/>
      <c r="N18" s="35"/>
      <c r="O18" s="62">
        <f t="shared" si="2"/>
        <v>1</v>
      </c>
      <c r="P18" s="65">
        <f t="shared" si="3"/>
        <v>0</v>
      </c>
      <c r="Q18" s="62">
        <f t="shared" si="4"/>
        <v>0</v>
      </c>
      <c r="R18" s="66">
        <f t="shared" si="5"/>
        <v>0</v>
      </c>
      <c r="S18" s="67">
        <f t="shared" si="6"/>
        <v>0</v>
      </c>
      <c r="T18" s="68">
        <f t="shared" si="7"/>
        <v>0</v>
      </c>
      <c r="U18" s="69">
        <f t="shared" si="8"/>
        <v>0</v>
      </c>
      <c r="V18" s="177">
        <f t="shared" si="1"/>
        <v>0</v>
      </c>
      <c r="W18" s="188"/>
      <c r="X18" s="189"/>
      <c r="Y18" s="199" t="s">
        <v>32</v>
      </c>
      <c r="Z18" s="188"/>
      <c r="AA18" s="189"/>
      <c r="AB18" s="190"/>
      <c r="AC18" s="191"/>
      <c r="AD18" s="189"/>
      <c r="AE18" s="190"/>
    </row>
    <row r="19" spans="1:31" ht="30" customHeight="1">
      <c r="A19" s="2"/>
      <c r="B19" s="30"/>
      <c r="C19" s="83"/>
      <c r="D19" s="134"/>
      <c r="E19" s="136" t="s">
        <v>86</v>
      </c>
      <c r="F19" s="135" t="s">
        <v>87</v>
      </c>
      <c r="G19" s="124"/>
      <c r="H19" s="94"/>
      <c r="I19" s="95" t="s">
        <v>83</v>
      </c>
      <c r="J19" s="96" t="s">
        <v>89</v>
      </c>
      <c r="K19" s="34">
        <v>46303</v>
      </c>
      <c r="L19" s="35">
        <v>46303</v>
      </c>
      <c r="M19" s="34"/>
      <c r="N19" s="35"/>
      <c r="O19" s="62"/>
      <c r="P19" s="65"/>
      <c r="Q19" s="62"/>
      <c r="R19" s="66"/>
      <c r="S19" s="67">
        <f t="shared" ref="S19" si="9">IFERROR(Q19/O19,0)</f>
        <v>0</v>
      </c>
      <c r="T19" s="68">
        <f t="shared" ref="T19" si="10">IFERROR(R19/O19,0)</f>
        <v>0</v>
      </c>
      <c r="U19" s="69">
        <f t="shared" ref="U19" si="11">IF(OR(O19=0,R19=0),0,MIN(1,R19/O19))</f>
        <v>0</v>
      </c>
      <c r="V19" s="177">
        <f t="shared" ref="V19" si="12">U19-S19</f>
        <v>0</v>
      </c>
      <c r="W19" s="171"/>
      <c r="X19" s="156"/>
      <c r="Y19" s="163" t="s">
        <v>32</v>
      </c>
      <c r="Z19" s="171"/>
      <c r="AA19" s="156"/>
      <c r="AB19" s="172"/>
      <c r="AC19" s="158"/>
      <c r="AD19" s="156"/>
      <c r="AE19" s="172"/>
    </row>
    <row r="20" spans="1:31" ht="30" customHeight="1">
      <c r="A20" s="3"/>
      <c r="B20" s="30"/>
      <c r="C20" s="83"/>
      <c r="D20" s="134"/>
      <c r="E20" s="136" t="s">
        <v>51</v>
      </c>
      <c r="F20" s="128" t="s">
        <v>52</v>
      </c>
      <c r="G20" s="129"/>
      <c r="H20" s="90"/>
      <c r="I20" s="91" t="s">
        <v>83</v>
      </c>
      <c r="J20" s="92" t="s">
        <v>53</v>
      </c>
      <c r="K20" s="34">
        <v>46303</v>
      </c>
      <c r="L20" s="35">
        <v>46303</v>
      </c>
      <c r="M20" s="34"/>
      <c r="N20" s="35"/>
      <c r="O20" s="64">
        <f t="shared" si="2"/>
        <v>1</v>
      </c>
      <c r="P20" s="65">
        <f t="shared" si="3"/>
        <v>0</v>
      </c>
      <c r="Q20" s="64">
        <f t="shared" si="4"/>
        <v>0</v>
      </c>
      <c r="R20" s="66">
        <f t="shared" si="5"/>
        <v>0</v>
      </c>
      <c r="S20" s="93">
        <f t="shared" si="6"/>
        <v>0</v>
      </c>
      <c r="T20" s="68">
        <f t="shared" si="7"/>
        <v>0</v>
      </c>
      <c r="U20" s="69">
        <f t="shared" si="8"/>
        <v>0</v>
      </c>
      <c r="V20" s="177">
        <f t="shared" si="1"/>
        <v>0</v>
      </c>
      <c r="W20" s="171"/>
      <c r="X20" s="160"/>
      <c r="Y20" s="164" t="s">
        <v>32</v>
      </c>
      <c r="Z20" s="173"/>
      <c r="AA20" s="160"/>
      <c r="AB20" s="174"/>
      <c r="AC20" s="167"/>
      <c r="AD20" s="160"/>
      <c r="AE20" s="174"/>
    </row>
    <row r="21" spans="1:31" ht="30" customHeight="1">
      <c r="A21" s="2"/>
      <c r="B21" s="30"/>
      <c r="C21" s="83"/>
      <c r="D21" s="134"/>
      <c r="E21" s="136" t="s">
        <v>94</v>
      </c>
      <c r="F21" s="126" t="s">
        <v>92</v>
      </c>
      <c r="G21" s="127"/>
      <c r="H21" s="87"/>
      <c r="I21" s="76" t="s">
        <v>83</v>
      </c>
      <c r="J21" s="88" t="s">
        <v>96</v>
      </c>
      <c r="K21" s="36">
        <v>46303</v>
      </c>
      <c r="L21" s="37">
        <v>46303</v>
      </c>
      <c r="M21" s="36"/>
      <c r="N21" s="37"/>
      <c r="O21" s="76">
        <f t="shared" si="2"/>
        <v>1</v>
      </c>
      <c r="P21" s="78">
        <f t="shared" si="3"/>
        <v>0</v>
      </c>
      <c r="Q21" s="76">
        <f t="shared" si="4"/>
        <v>0</v>
      </c>
      <c r="R21" s="80">
        <f t="shared" si="5"/>
        <v>0</v>
      </c>
      <c r="S21" s="67">
        <f t="shared" si="6"/>
        <v>0</v>
      </c>
      <c r="T21" s="68">
        <f t="shared" si="7"/>
        <v>0</v>
      </c>
      <c r="U21" s="69">
        <f t="shared" si="8"/>
        <v>0</v>
      </c>
      <c r="V21" s="177">
        <f t="shared" si="1"/>
        <v>0</v>
      </c>
      <c r="W21" s="195"/>
      <c r="X21" s="196"/>
      <c r="Y21" s="202" t="s">
        <v>32</v>
      </c>
      <c r="Z21" s="195"/>
      <c r="AA21" s="196"/>
      <c r="AB21" s="197"/>
      <c r="AC21" s="198"/>
      <c r="AD21" s="196"/>
      <c r="AE21" s="197"/>
    </row>
    <row r="22" spans="1:31" ht="30" customHeight="1">
      <c r="A22" s="2"/>
      <c r="B22" s="30"/>
      <c r="C22" s="83"/>
      <c r="D22" s="134"/>
      <c r="E22" s="136" t="s">
        <v>97</v>
      </c>
      <c r="F22" s="120" t="s">
        <v>108</v>
      </c>
      <c r="G22" s="121"/>
      <c r="H22" s="61" t="s">
        <v>82</v>
      </c>
      <c r="I22" s="62"/>
      <c r="J22" s="82" t="s">
        <v>54</v>
      </c>
      <c r="K22" s="34">
        <v>46303</v>
      </c>
      <c r="L22" s="35">
        <v>46303</v>
      </c>
      <c r="M22" s="34"/>
      <c r="N22" s="35"/>
      <c r="O22" s="62">
        <f t="shared" si="2"/>
        <v>1</v>
      </c>
      <c r="P22" s="65">
        <f t="shared" si="3"/>
        <v>0</v>
      </c>
      <c r="Q22" s="62">
        <f t="shared" si="4"/>
        <v>0</v>
      </c>
      <c r="R22" s="66">
        <f t="shared" si="5"/>
        <v>0</v>
      </c>
      <c r="S22" s="67">
        <f t="shared" si="6"/>
        <v>0</v>
      </c>
      <c r="T22" s="68">
        <f t="shared" si="7"/>
        <v>0</v>
      </c>
      <c r="U22" s="69">
        <f t="shared" si="8"/>
        <v>0</v>
      </c>
      <c r="V22" s="177">
        <f t="shared" si="1"/>
        <v>0</v>
      </c>
      <c r="W22" s="188"/>
      <c r="X22" s="189"/>
      <c r="Y22" s="199" t="s">
        <v>32</v>
      </c>
      <c r="Z22" s="188"/>
      <c r="AA22" s="189"/>
      <c r="AB22" s="190"/>
      <c r="AC22" s="191"/>
      <c r="AD22" s="189"/>
      <c r="AE22" s="190"/>
    </row>
    <row r="23" spans="1:31" ht="30" customHeight="1">
      <c r="A23" s="2"/>
      <c r="B23" s="30"/>
      <c r="C23" s="83"/>
      <c r="D23" s="134"/>
      <c r="E23" s="136" t="s">
        <v>99</v>
      </c>
      <c r="F23" s="139" t="s">
        <v>106</v>
      </c>
      <c r="G23" s="128"/>
      <c r="H23" s="61" t="s">
        <v>82</v>
      </c>
      <c r="I23" s="62"/>
      <c r="J23" s="140" t="s">
        <v>55</v>
      </c>
      <c r="K23" s="34">
        <v>46303</v>
      </c>
      <c r="L23" s="35">
        <v>46303</v>
      </c>
      <c r="M23" s="38"/>
      <c r="N23" s="39"/>
      <c r="O23" s="62"/>
      <c r="P23" s="65"/>
      <c r="Q23" s="62"/>
      <c r="R23" s="66"/>
      <c r="S23" s="67"/>
      <c r="T23" s="68"/>
      <c r="U23" s="69"/>
      <c r="V23" s="177"/>
      <c r="W23" s="171"/>
      <c r="X23" s="156"/>
      <c r="Y23" s="163"/>
      <c r="Z23" s="171"/>
      <c r="AA23" s="156"/>
      <c r="AB23" s="172"/>
      <c r="AC23" s="158"/>
      <c r="AD23" s="156"/>
      <c r="AE23" s="172"/>
    </row>
    <row r="24" spans="1:31" ht="30" customHeight="1">
      <c r="A24" s="2"/>
      <c r="B24" s="30"/>
      <c r="C24" s="83"/>
      <c r="D24" s="134"/>
      <c r="E24" s="136" t="s">
        <v>101</v>
      </c>
      <c r="F24" s="139" t="s">
        <v>107</v>
      </c>
      <c r="G24" s="128"/>
      <c r="H24" s="61" t="s">
        <v>82</v>
      </c>
      <c r="I24" s="62"/>
      <c r="J24" s="141" t="s">
        <v>55</v>
      </c>
      <c r="K24" s="34">
        <v>46303</v>
      </c>
      <c r="L24" s="35">
        <v>46303</v>
      </c>
      <c r="M24" s="38"/>
      <c r="N24" s="39"/>
      <c r="O24" s="62"/>
      <c r="P24" s="65"/>
      <c r="Q24" s="62"/>
      <c r="R24" s="66"/>
      <c r="S24" s="67"/>
      <c r="T24" s="68"/>
      <c r="U24" s="69"/>
      <c r="V24" s="177"/>
      <c r="W24" s="171"/>
      <c r="X24" s="156"/>
      <c r="Y24" s="163"/>
      <c r="Z24" s="171"/>
      <c r="AA24" s="156"/>
      <c r="AB24" s="172"/>
      <c r="AC24" s="158"/>
      <c r="AD24" s="156"/>
      <c r="AE24" s="172"/>
    </row>
    <row r="25" spans="1:31" ht="30" customHeight="1">
      <c r="A25" s="2"/>
      <c r="B25" s="30"/>
      <c r="C25" s="83"/>
      <c r="D25" s="134"/>
      <c r="E25" s="136" t="s">
        <v>103</v>
      </c>
      <c r="F25" s="139" t="s">
        <v>110</v>
      </c>
      <c r="G25" s="128"/>
      <c r="H25" s="61" t="s">
        <v>82</v>
      </c>
      <c r="I25" s="62"/>
      <c r="J25" s="141" t="s">
        <v>55</v>
      </c>
      <c r="K25" s="34">
        <v>46303</v>
      </c>
      <c r="L25" s="35">
        <v>46303</v>
      </c>
      <c r="M25" s="38"/>
      <c r="N25" s="39"/>
      <c r="O25" s="62">
        <f t="shared" si="2"/>
        <v>1</v>
      </c>
      <c r="P25" s="65">
        <f t="shared" si="3"/>
        <v>0</v>
      </c>
      <c r="Q25" s="62">
        <f t="shared" si="4"/>
        <v>0</v>
      </c>
      <c r="R25" s="66">
        <f t="shared" si="5"/>
        <v>0</v>
      </c>
      <c r="S25" s="67">
        <f t="shared" si="6"/>
        <v>0</v>
      </c>
      <c r="T25" s="68">
        <f t="shared" si="7"/>
        <v>0</v>
      </c>
      <c r="U25" s="69">
        <f t="shared" si="8"/>
        <v>0</v>
      </c>
      <c r="V25" s="177">
        <f t="shared" si="1"/>
        <v>0</v>
      </c>
      <c r="W25" s="171"/>
      <c r="X25" s="156"/>
      <c r="Y25" s="163" t="s">
        <v>32</v>
      </c>
      <c r="Z25" s="171"/>
      <c r="AA25" s="156"/>
      <c r="AB25" s="172"/>
      <c r="AC25" s="158"/>
      <c r="AD25" s="156"/>
      <c r="AE25" s="172"/>
    </row>
    <row r="26" spans="1:31" ht="30" customHeight="1">
      <c r="A26" s="2"/>
      <c r="B26" s="30"/>
      <c r="C26" s="83"/>
      <c r="D26" s="134"/>
      <c r="E26" s="136" t="s">
        <v>105</v>
      </c>
      <c r="F26" s="139" t="s">
        <v>109</v>
      </c>
      <c r="G26" s="128"/>
      <c r="H26" s="61" t="s">
        <v>82</v>
      </c>
      <c r="I26" s="62"/>
      <c r="J26" s="142" t="s">
        <v>55</v>
      </c>
      <c r="K26" s="34">
        <v>46303</v>
      </c>
      <c r="L26" s="35">
        <v>46303</v>
      </c>
      <c r="M26" s="38"/>
      <c r="N26" s="39"/>
      <c r="O26" s="95"/>
      <c r="P26" s="137"/>
      <c r="Q26" s="95"/>
      <c r="R26" s="138"/>
      <c r="S26" s="67"/>
      <c r="T26" s="68"/>
      <c r="U26" s="69"/>
      <c r="V26" s="177"/>
      <c r="W26" s="171"/>
      <c r="X26" s="156"/>
      <c r="Y26" s="163"/>
      <c r="Z26" s="171"/>
      <c r="AA26" s="156"/>
      <c r="AB26" s="172"/>
      <c r="AC26" s="158"/>
      <c r="AD26" s="156"/>
      <c r="AE26" s="172"/>
    </row>
    <row r="27" spans="1:31" ht="30" customHeight="1">
      <c r="A27" s="2"/>
      <c r="B27" s="30"/>
      <c r="C27" s="83"/>
      <c r="D27" s="134"/>
      <c r="E27" s="136" t="s">
        <v>56</v>
      </c>
      <c r="F27" s="126" t="s">
        <v>57</v>
      </c>
      <c r="G27" s="127"/>
      <c r="H27" s="87" t="s">
        <v>82</v>
      </c>
      <c r="I27" s="76"/>
      <c r="J27" s="88" t="s">
        <v>58</v>
      </c>
      <c r="K27" s="40">
        <v>46303</v>
      </c>
      <c r="L27" s="41">
        <v>46303</v>
      </c>
      <c r="M27" s="40"/>
      <c r="N27" s="41"/>
      <c r="O27" s="76">
        <f t="shared" si="2"/>
        <v>1</v>
      </c>
      <c r="P27" s="78">
        <f t="shared" si="3"/>
        <v>0</v>
      </c>
      <c r="Q27" s="76">
        <f t="shared" si="4"/>
        <v>0</v>
      </c>
      <c r="R27" s="80">
        <f t="shared" si="5"/>
        <v>0</v>
      </c>
      <c r="S27" s="67">
        <f t="shared" si="6"/>
        <v>0</v>
      </c>
      <c r="T27" s="68">
        <f t="shared" si="7"/>
        <v>0</v>
      </c>
      <c r="U27" s="69">
        <f t="shared" si="8"/>
        <v>0</v>
      </c>
      <c r="V27" s="177">
        <f t="shared" si="1"/>
        <v>0</v>
      </c>
      <c r="W27" s="195"/>
      <c r="X27" s="196"/>
      <c r="Y27" s="202" t="s">
        <v>32</v>
      </c>
      <c r="Z27" s="195"/>
      <c r="AA27" s="196"/>
      <c r="AB27" s="197"/>
      <c r="AC27" s="198"/>
      <c r="AD27" s="196"/>
      <c r="AE27" s="197"/>
    </row>
    <row r="28" spans="1:31" ht="30" customHeight="1">
      <c r="A28" s="2"/>
      <c r="B28" s="30"/>
      <c r="C28" s="83"/>
      <c r="D28" s="134"/>
      <c r="E28" s="136" t="s">
        <v>59</v>
      </c>
      <c r="F28" s="120" t="s">
        <v>60</v>
      </c>
      <c r="G28" s="121"/>
      <c r="H28" s="61"/>
      <c r="I28" s="62" t="s">
        <v>83</v>
      </c>
      <c r="J28" s="82" t="s">
        <v>61</v>
      </c>
      <c r="K28" s="34">
        <v>46303</v>
      </c>
      <c r="L28" s="35">
        <v>46303</v>
      </c>
      <c r="M28" s="34"/>
      <c r="N28" s="35"/>
      <c r="O28" s="62">
        <f t="shared" si="2"/>
        <v>1</v>
      </c>
      <c r="P28" s="65">
        <f t="shared" si="3"/>
        <v>0</v>
      </c>
      <c r="Q28" s="62">
        <f t="shared" si="4"/>
        <v>0</v>
      </c>
      <c r="R28" s="66">
        <f t="shared" si="5"/>
        <v>0</v>
      </c>
      <c r="S28" s="67">
        <f t="shared" si="6"/>
        <v>0</v>
      </c>
      <c r="T28" s="68">
        <f t="shared" si="7"/>
        <v>0</v>
      </c>
      <c r="U28" s="69">
        <f t="shared" si="8"/>
        <v>0</v>
      </c>
      <c r="V28" s="177">
        <f t="shared" si="1"/>
        <v>0</v>
      </c>
      <c r="W28" s="188"/>
      <c r="X28" s="189"/>
      <c r="Y28" s="199" t="s">
        <v>32</v>
      </c>
      <c r="Z28" s="188"/>
      <c r="AA28" s="189"/>
      <c r="AB28" s="190"/>
      <c r="AC28" s="191"/>
      <c r="AD28" s="189"/>
      <c r="AE28" s="190"/>
    </row>
    <row r="29" spans="1:31" ht="30" customHeight="1">
      <c r="A29" s="2"/>
      <c r="B29" s="30"/>
      <c r="C29" s="83"/>
      <c r="D29" s="134"/>
      <c r="E29" s="136" t="s">
        <v>95</v>
      </c>
      <c r="F29" s="144" t="s">
        <v>116</v>
      </c>
      <c r="G29" s="124"/>
      <c r="H29" s="84"/>
      <c r="I29" s="64" t="s">
        <v>83</v>
      </c>
      <c r="J29" s="85" t="s">
        <v>117</v>
      </c>
      <c r="K29" s="34">
        <v>46307</v>
      </c>
      <c r="L29" s="35">
        <v>46307</v>
      </c>
      <c r="M29" s="34"/>
      <c r="N29" s="35"/>
      <c r="O29" s="64">
        <f t="shared" si="2"/>
        <v>1</v>
      </c>
      <c r="P29" s="65">
        <f t="shared" si="3"/>
        <v>0</v>
      </c>
      <c r="Q29" s="64">
        <f t="shared" si="4"/>
        <v>0</v>
      </c>
      <c r="R29" s="66">
        <f t="shared" si="5"/>
        <v>0</v>
      </c>
      <c r="S29" s="67">
        <f t="shared" si="6"/>
        <v>0</v>
      </c>
      <c r="T29" s="68">
        <f t="shared" si="7"/>
        <v>0</v>
      </c>
      <c r="U29" s="69">
        <f t="shared" si="8"/>
        <v>0</v>
      </c>
      <c r="V29" s="177">
        <f t="shared" si="1"/>
        <v>0</v>
      </c>
      <c r="W29" s="171"/>
      <c r="X29" s="156"/>
      <c r="Y29" s="163"/>
      <c r="Z29" s="175"/>
      <c r="AA29" s="156"/>
      <c r="AB29" s="176"/>
      <c r="AC29" s="168" t="s">
        <v>32</v>
      </c>
      <c r="AD29" s="156"/>
      <c r="AE29" s="172"/>
    </row>
    <row r="30" spans="1:31" ht="30" customHeight="1">
      <c r="A30" s="2"/>
      <c r="B30" s="30"/>
      <c r="C30" s="83"/>
      <c r="D30" s="134"/>
      <c r="E30" s="136" t="s">
        <v>97</v>
      </c>
      <c r="F30" s="144" t="s">
        <v>118</v>
      </c>
      <c r="G30" s="124"/>
      <c r="H30" s="84"/>
      <c r="I30" s="64" t="s">
        <v>83</v>
      </c>
      <c r="J30" s="85" t="s">
        <v>123</v>
      </c>
      <c r="K30" s="34">
        <v>46307</v>
      </c>
      <c r="L30" s="35">
        <v>46307</v>
      </c>
      <c r="M30" s="34"/>
      <c r="N30" s="35"/>
      <c r="O30" s="64">
        <f t="shared" si="2"/>
        <v>1</v>
      </c>
      <c r="P30" s="65">
        <f t="shared" si="3"/>
        <v>0</v>
      </c>
      <c r="Q30" s="64">
        <f t="shared" si="4"/>
        <v>0</v>
      </c>
      <c r="R30" s="66">
        <f t="shared" si="5"/>
        <v>0</v>
      </c>
      <c r="S30" s="67">
        <f t="shared" si="6"/>
        <v>0</v>
      </c>
      <c r="T30" s="68">
        <f t="shared" si="7"/>
        <v>0</v>
      </c>
      <c r="U30" s="69">
        <f t="shared" si="8"/>
        <v>0</v>
      </c>
      <c r="V30" s="177">
        <f t="shared" si="1"/>
        <v>0</v>
      </c>
      <c r="W30" s="171"/>
      <c r="X30" s="156"/>
      <c r="Y30" s="163"/>
      <c r="Z30" s="175"/>
      <c r="AA30" s="159"/>
      <c r="AB30" s="176"/>
      <c r="AC30" s="168" t="s">
        <v>32</v>
      </c>
      <c r="AD30" s="159"/>
      <c r="AE30" s="172"/>
    </row>
    <row r="31" spans="1:31" ht="30" customHeight="1">
      <c r="A31" s="2"/>
      <c r="B31" s="30"/>
      <c r="C31" s="83"/>
      <c r="D31" s="134"/>
      <c r="E31" s="136" t="s">
        <v>98</v>
      </c>
      <c r="F31" s="144" t="s">
        <v>119</v>
      </c>
      <c r="G31" s="124"/>
      <c r="H31" s="84"/>
      <c r="I31" s="64" t="s">
        <v>83</v>
      </c>
      <c r="J31" s="85" t="s">
        <v>124</v>
      </c>
      <c r="K31" s="34">
        <v>46307</v>
      </c>
      <c r="L31" s="35">
        <v>46307</v>
      </c>
      <c r="M31" s="34"/>
      <c r="N31" s="35"/>
      <c r="O31" s="64">
        <f t="shared" si="2"/>
        <v>1</v>
      </c>
      <c r="P31" s="65">
        <f t="shared" si="3"/>
        <v>0</v>
      </c>
      <c r="Q31" s="64">
        <f t="shared" si="4"/>
        <v>0</v>
      </c>
      <c r="R31" s="66">
        <f t="shared" si="5"/>
        <v>0</v>
      </c>
      <c r="S31" s="67">
        <f t="shared" si="6"/>
        <v>0</v>
      </c>
      <c r="T31" s="68">
        <f t="shared" si="7"/>
        <v>0</v>
      </c>
      <c r="U31" s="69">
        <f t="shared" si="8"/>
        <v>0</v>
      </c>
      <c r="V31" s="177">
        <f t="shared" si="1"/>
        <v>0</v>
      </c>
      <c r="W31" s="171"/>
      <c r="X31" s="156"/>
      <c r="Y31" s="162"/>
      <c r="Z31" s="175"/>
      <c r="AA31" s="156"/>
      <c r="AB31" s="176"/>
      <c r="AC31" s="168" t="s">
        <v>32</v>
      </c>
      <c r="AD31" s="156"/>
      <c r="AE31" s="176"/>
    </row>
    <row r="32" spans="1:31" ht="30" customHeight="1">
      <c r="A32" s="2"/>
      <c r="B32" s="30"/>
      <c r="C32" s="83"/>
      <c r="D32" s="134"/>
      <c r="E32" s="136" t="s">
        <v>100</v>
      </c>
      <c r="F32" s="144" t="s">
        <v>120</v>
      </c>
      <c r="G32" s="124"/>
      <c r="H32" s="90"/>
      <c r="I32" s="64" t="s">
        <v>83</v>
      </c>
      <c r="J32" s="92" t="s">
        <v>125</v>
      </c>
      <c r="K32" s="34">
        <v>46307</v>
      </c>
      <c r="L32" s="35">
        <v>46307</v>
      </c>
      <c r="M32" s="34"/>
      <c r="N32" s="35"/>
      <c r="O32" s="64">
        <f t="shared" ref="O32:O45" si="13">IF(OR(K32="",L32=""),0,L32-K32+1)</f>
        <v>1</v>
      </c>
      <c r="P32" s="65">
        <f t="shared" ref="P32:P45" si="14">IF(OR(M32="",N32=""),0,N32-M32+1)</f>
        <v>0</v>
      </c>
      <c r="Q32" s="64">
        <f t="shared" ref="Q32:Q45" si="15">IF(O32=0,0,MAX(0,MIN(O32,$L$1-K32+1)))</f>
        <v>0</v>
      </c>
      <c r="R32" s="66">
        <f t="shared" ref="R32:R45" si="16">IF(P32=0,0,MIN(P32,O32))</f>
        <v>0</v>
      </c>
      <c r="S32" s="67">
        <f t="shared" ref="S32:S45" si="17">IFERROR(Q32/O32,0)</f>
        <v>0</v>
      </c>
      <c r="T32" s="68">
        <f t="shared" ref="T32:T45" si="18">IFERROR(R32/O32,0)</f>
        <v>0</v>
      </c>
      <c r="U32" s="69">
        <f t="shared" ref="U32:U45" si="19">IF(OR(O32=0,R32=0),0,MIN(1,R32/O32))</f>
        <v>0</v>
      </c>
      <c r="V32" s="177">
        <f t="shared" ref="V32:V45" si="20">U32-S32</f>
        <v>0</v>
      </c>
      <c r="W32" s="171"/>
      <c r="X32" s="156"/>
      <c r="Y32" s="162"/>
      <c r="Z32" s="175"/>
      <c r="AA32" s="156"/>
      <c r="AB32" s="176"/>
      <c r="AC32" s="168" t="s">
        <v>32</v>
      </c>
      <c r="AD32" s="156"/>
      <c r="AE32" s="176"/>
    </row>
    <row r="33" spans="1:31" ht="30" customHeight="1">
      <c r="A33" s="2"/>
      <c r="B33" s="30"/>
      <c r="C33" s="83"/>
      <c r="D33" s="134"/>
      <c r="E33" s="136" t="s">
        <v>102</v>
      </c>
      <c r="F33" s="144" t="s">
        <v>121</v>
      </c>
      <c r="G33" s="124"/>
      <c r="H33" s="90"/>
      <c r="I33" s="64" t="s">
        <v>83</v>
      </c>
      <c r="J33" s="92" t="s">
        <v>128</v>
      </c>
      <c r="K33" s="34">
        <v>46307</v>
      </c>
      <c r="L33" s="35">
        <v>46307</v>
      </c>
      <c r="M33" s="34"/>
      <c r="N33" s="35"/>
      <c r="O33" s="64">
        <f t="shared" si="13"/>
        <v>1</v>
      </c>
      <c r="P33" s="65">
        <f t="shared" si="14"/>
        <v>0</v>
      </c>
      <c r="Q33" s="64">
        <f t="shared" si="15"/>
        <v>0</v>
      </c>
      <c r="R33" s="66">
        <f t="shared" si="16"/>
        <v>0</v>
      </c>
      <c r="S33" s="67">
        <f t="shared" si="17"/>
        <v>0</v>
      </c>
      <c r="T33" s="68">
        <f t="shared" si="18"/>
        <v>0</v>
      </c>
      <c r="U33" s="69">
        <f t="shared" si="19"/>
        <v>0</v>
      </c>
      <c r="V33" s="177">
        <f t="shared" si="20"/>
        <v>0</v>
      </c>
      <c r="W33" s="171"/>
      <c r="X33" s="156"/>
      <c r="Y33" s="162"/>
      <c r="Z33" s="175"/>
      <c r="AA33" s="156"/>
      <c r="AB33" s="176"/>
      <c r="AC33" s="168" t="s">
        <v>32</v>
      </c>
      <c r="AD33" s="156"/>
      <c r="AE33" s="176"/>
    </row>
    <row r="34" spans="1:31" ht="30" customHeight="1">
      <c r="A34" s="2"/>
      <c r="B34" s="30"/>
      <c r="C34" s="83"/>
      <c r="D34" s="134"/>
      <c r="E34" s="136" t="s">
        <v>104</v>
      </c>
      <c r="F34" s="144" t="s">
        <v>122</v>
      </c>
      <c r="G34" s="124"/>
      <c r="H34" s="90"/>
      <c r="I34" s="64" t="s">
        <v>83</v>
      </c>
      <c r="J34" s="92" t="s">
        <v>129</v>
      </c>
      <c r="K34" s="34">
        <v>46307</v>
      </c>
      <c r="L34" s="35">
        <v>46307</v>
      </c>
      <c r="M34" s="34"/>
      <c r="N34" s="35"/>
      <c r="O34" s="64">
        <f t="shared" si="13"/>
        <v>1</v>
      </c>
      <c r="P34" s="65">
        <f t="shared" si="14"/>
        <v>0</v>
      </c>
      <c r="Q34" s="64">
        <f t="shared" si="15"/>
        <v>0</v>
      </c>
      <c r="R34" s="66">
        <f t="shared" si="16"/>
        <v>0</v>
      </c>
      <c r="S34" s="67">
        <f t="shared" si="17"/>
        <v>0</v>
      </c>
      <c r="T34" s="68">
        <f t="shared" si="18"/>
        <v>0</v>
      </c>
      <c r="U34" s="69">
        <f t="shared" si="19"/>
        <v>0</v>
      </c>
      <c r="V34" s="177">
        <f t="shared" si="20"/>
        <v>0</v>
      </c>
      <c r="W34" s="171"/>
      <c r="X34" s="156"/>
      <c r="Y34" s="162"/>
      <c r="Z34" s="175"/>
      <c r="AA34" s="156"/>
      <c r="AB34" s="176"/>
      <c r="AC34" s="168" t="s">
        <v>32</v>
      </c>
      <c r="AD34" s="156"/>
      <c r="AE34" s="176"/>
    </row>
    <row r="35" spans="1:31" ht="30" customHeight="1">
      <c r="A35" s="2"/>
      <c r="B35" s="30"/>
      <c r="C35" s="83"/>
      <c r="D35" s="134"/>
      <c r="E35" s="136" t="s">
        <v>95</v>
      </c>
      <c r="F35" s="144" t="s">
        <v>130</v>
      </c>
      <c r="G35" s="124"/>
      <c r="H35" s="90"/>
      <c r="I35" s="64" t="s">
        <v>83</v>
      </c>
      <c r="J35" s="92" t="s">
        <v>131</v>
      </c>
      <c r="K35" s="34">
        <v>46307</v>
      </c>
      <c r="L35" s="35">
        <v>46307</v>
      </c>
      <c r="M35" s="34"/>
      <c r="N35" s="35"/>
      <c r="O35" s="64">
        <f t="shared" si="13"/>
        <v>1</v>
      </c>
      <c r="P35" s="65">
        <f t="shared" si="14"/>
        <v>0</v>
      </c>
      <c r="Q35" s="64">
        <f t="shared" si="15"/>
        <v>0</v>
      </c>
      <c r="R35" s="66">
        <f t="shared" si="16"/>
        <v>0</v>
      </c>
      <c r="S35" s="67">
        <f t="shared" si="17"/>
        <v>0</v>
      </c>
      <c r="T35" s="68">
        <f t="shared" si="18"/>
        <v>0</v>
      </c>
      <c r="U35" s="69">
        <f t="shared" si="19"/>
        <v>0</v>
      </c>
      <c r="V35" s="177">
        <f t="shared" si="20"/>
        <v>0</v>
      </c>
      <c r="W35" s="171"/>
      <c r="X35" s="156"/>
      <c r="Y35" s="162"/>
      <c r="Z35" s="175"/>
      <c r="AA35" s="156"/>
      <c r="AB35" s="176"/>
      <c r="AC35" s="168" t="s">
        <v>32</v>
      </c>
      <c r="AD35" s="156"/>
      <c r="AE35" s="176"/>
    </row>
    <row r="36" spans="1:31" ht="30" customHeight="1">
      <c r="A36" s="2"/>
      <c r="B36" s="30"/>
      <c r="C36" s="83"/>
      <c r="D36" s="134"/>
      <c r="E36" s="136" t="s">
        <v>95</v>
      </c>
      <c r="F36" s="144" t="s">
        <v>142</v>
      </c>
      <c r="G36" s="124"/>
      <c r="H36" s="90"/>
      <c r="I36" s="64" t="s">
        <v>83</v>
      </c>
      <c r="J36" s="92" t="s">
        <v>132</v>
      </c>
      <c r="K36" s="34">
        <v>46307</v>
      </c>
      <c r="L36" s="35">
        <v>46307</v>
      </c>
      <c r="M36" s="34"/>
      <c r="N36" s="35"/>
      <c r="O36" s="64">
        <f t="shared" si="13"/>
        <v>1</v>
      </c>
      <c r="P36" s="65">
        <f t="shared" si="14"/>
        <v>0</v>
      </c>
      <c r="Q36" s="64">
        <f t="shared" si="15"/>
        <v>0</v>
      </c>
      <c r="R36" s="66">
        <f t="shared" si="16"/>
        <v>0</v>
      </c>
      <c r="S36" s="67">
        <f t="shared" si="17"/>
        <v>0</v>
      </c>
      <c r="T36" s="68">
        <f t="shared" si="18"/>
        <v>0</v>
      </c>
      <c r="U36" s="69">
        <f t="shared" si="19"/>
        <v>0</v>
      </c>
      <c r="V36" s="177">
        <f t="shared" si="20"/>
        <v>0</v>
      </c>
      <c r="W36" s="171"/>
      <c r="X36" s="156"/>
      <c r="Y36" s="162"/>
      <c r="Z36" s="175"/>
      <c r="AA36" s="156"/>
      <c r="AB36" s="176"/>
      <c r="AC36" s="168" t="s">
        <v>32</v>
      </c>
      <c r="AD36" s="156"/>
      <c r="AE36" s="176"/>
    </row>
    <row r="37" spans="1:31" ht="30" customHeight="1">
      <c r="A37" s="2"/>
      <c r="B37" s="30"/>
      <c r="C37" s="83"/>
      <c r="D37" s="134"/>
      <c r="E37" s="136" t="s">
        <v>126</v>
      </c>
      <c r="F37" s="144" t="s">
        <v>143</v>
      </c>
      <c r="G37" s="124"/>
      <c r="H37" s="90"/>
      <c r="I37" s="64" t="s">
        <v>83</v>
      </c>
      <c r="J37" s="92" t="s">
        <v>133</v>
      </c>
      <c r="K37" s="34">
        <v>46307</v>
      </c>
      <c r="L37" s="35">
        <v>46307</v>
      </c>
      <c r="M37" s="34"/>
      <c r="N37" s="35"/>
      <c r="O37" s="64">
        <f t="shared" si="13"/>
        <v>1</v>
      </c>
      <c r="P37" s="65">
        <f t="shared" si="14"/>
        <v>0</v>
      </c>
      <c r="Q37" s="64">
        <f t="shared" si="15"/>
        <v>0</v>
      </c>
      <c r="R37" s="66">
        <f t="shared" si="16"/>
        <v>0</v>
      </c>
      <c r="S37" s="67">
        <f t="shared" si="17"/>
        <v>0</v>
      </c>
      <c r="T37" s="68">
        <f t="shared" si="18"/>
        <v>0</v>
      </c>
      <c r="U37" s="69">
        <f t="shared" si="19"/>
        <v>0</v>
      </c>
      <c r="V37" s="177">
        <f t="shared" si="20"/>
        <v>0</v>
      </c>
      <c r="W37" s="171"/>
      <c r="X37" s="156"/>
      <c r="Y37" s="162"/>
      <c r="Z37" s="175"/>
      <c r="AA37" s="156"/>
      <c r="AB37" s="176"/>
      <c r="AC37" s="168" t="s">
        <v>32</v>
      </c>
      <c r="AD37" s="156"/>
      <c r="AE37" s="176"/>
    </row>
    <row r="38" spans="1:31" ht="30" customHeight="1">
      <c r="A38" s="2"/>
      <c r="B38" s="30"/>
      <c r="C38" s="83"/>
      <c r="D38" s="134"/>
      <c r="E38" s="136" t="s">
        <v>111</v>
      </c>
      <c r="F38" s="144" t="s">
        <v>144</v>
      </c>
      <c r="G38" s="124"/>
      <c r="H38" s="90"/>
      <c r="I38" s="64" t="s">
        <v>83</v>
      </c>
      <c r="J38" s="92" t="s">
        <v>134</v>
      </c>
      <c r="K38" s="34">
        <v>46307</v>
      </c>
      <c r="L38" s="35">
        <v>46307</v>
      </c>
      <c r="M38" s="34"/>
      <c r="N38" s="35"/>
      <c r="O38" s="64">
        <f t="shared" si="13"/>
        <v>1</v>
      </c>
      <c r="P38" s="65">
        <f t="shared" si="14"/>
        <v>0</v>
      </c>
      <c r="Q38" s="64">
        <f t="shared" si="15"/>
        <v>0</v>
      </c>
      <c r="R38" s="66">
        <f t="shared" si="16"/>
        <v>0</v>
      </c>
      <c r="S38" s="67">
        <f t="shared" si="17"/>
        <v>0</v>
      </c>
      <c r="T38" s="68">
        <f t="shared" si="18"/>
        <v>0</v>
      </c>
      <c r="U38" s="69">
        <f t="shared" si="19"/>
        <v>0</v>
      </c>
      <c r="V38" s="177">
        <f t="shared" si="20"/>
        <v>0</v>
      </c>
      <c r="W38" s="171"/>
      <c r="X38" s="156"/>
      <c r="Y38" s="162"/>
      <c r="Z38" s="175"/>
      <c r="AA38" s="156"/>
      <c r="AB38" s="176"/>
      <c r="AC38" s="168" t="s">
        <v>32</v>
      </c>
      <c r="AD38" s="156"/>
      <c r="AE38" s="176"/>
    </row>
    <row r="39" spans="1:31" ht="30" customHeight="1">
      <c r="A39" s="2"/>
      <c r="B39" s="30"/>
      <c r="C39" s="83"/>
      <c r="D39" s="134"/>
      <c r="E39" s="136" t="s">
        <v>112</v>
      </c>
      <c r="F39" s="144" t="s">
        <v>145</v>
      </c>
      <c r="G39" s="124"/>
      <c r="H39" s="90"/>
      <c r="I39" s="64" t="s">
        <v>83</v>
      </c>
      <c r="J39" s="92" t="s">
        <v>135</v>
      </c>
      <c r="K39" s="34">
        <v>46307</v>
      </c>
      <c r="L39" s="35">
        <v>46307</v>
      </c>
      <c r="M39" s="34"/>
      <c r="N39" s="35"/>
      <c r="O39" s="64">
        <f t="shared" si="13"/>
        <v>1</v>
      </c>
      <c r="P39" s="65">
        <f t="shared" si="14"/>
        <v>0</v>
      </c>
      <c r="Q39" s="64">
        <f t="shared" si="15"/>
        <v>0</v>
      </c>
      <c r="R39" s="66">
        <f t="shared" si="16"/>
        <v>0</v>
      </c>
      <c r="S39" s="67">
        <f t="shared" si="17"/>
        <v>0</v>
      </c>
      <c r="T39" s="68">
        <f t="shared" si="18"/>
        <v>0</v>
      </c>
      <c r="U39" s="69">
        <f t="shared" si="19"/>
        <v>0</v>
      </c>
      <c r="V39" s="177">
        <f t="shared" si="20"/>
        <v>0</v>
      </c>
      <c r="W39" s="171"/>
      <c r="X39" s="156"/>
      <c r="Y39" s="162"/>
      <c r="Z39" s="175"/>
      <c r="AA39" s="156"/>
      <c r="AB39" s="176"/>
      <c r="AC39" s="168" t="s">
        <v>32</v>
      </c>
      <c r="AD39" s="156"/>
      <c r="AE39" s="176"/>
    </row>
    <row r="40" spans="1:31" ht="30" customHeight="1">
      <c r="A40" s="2"/>
      <c r="B40" s="30"/>
      <c r="C40" s="83"/>
      <c r="D40" s="134"/>
      <c r="E40" s="136" t="s">
        <v>113</v>
      </c>
      <c r="F40" s="144" t="s">
        <v>146</v>
      </c>
      <c r="G40" s="124"/>
      <c r="H40" s="90"/>
      <c r="I40" s="64" t="s">
        <v>83</v>
      </c>
      <c r="J40" s="92" t="s">
        <v>136</v>
      </c>
      <c r="K40" s="34">
        <v>46307</v>
      </c>
      <c r="L40" s="35">
        <v>46307</v>
      </c>
      <c r="M40" s="34"/>
      <c r="N40" s="35"/>
      <c r="O40" s="64">
        <f t="shared" si="13"/>
        <v>1</v>
      </c>
      <c r="P40" s="65">
        <f t="shared" si="14"/>
        <v>0</v>
      </c>
      <c r="Q40" s="64">
        <f t="shared" si="15"/>
        <v>0</v>
      </c>
      <c r="R40" s="66">
        <f t="shared" si="16"/>
        <v>0</v>
      </c>
      <c r="S40" s="67">
        <f t="shared" si="17"/>
        <v>0</v>
      </c>
      <c r="T40" s="68">
        <f t="shared" si="18"/>
        <v>0</v>
      </c>
      <c r="U40" s="69">
        <f t="shared" si="19"/>
        <v>0</v>
      </c>
      <c r="V40" s="177">
        <f t="shared" si="20"/>
        <v>0</v>
      </c>
      <c r="W40" s="171"/>
      <c r="X40" s="156"/>
      <c r="Y40" s="162"/>
      <c r="Z40" s="175"/>
      <c r="AA40" s="156"/>
      <c r="AB40" s="176"/>
      <c r="AC40" s="168" t="s">
        <v>32</v>
      </c>
      <c r="AD40" s="156"/>
      <c r="AE40" s="176"/>
    </row>
    <row r="41" spans="1:31" ht="30" customHeight="1">
      <c r="A41" s="2"/>
      <c r="B41" s="30"/>
      <c r="C41" s="83"/>
      <c r="D41" s="134"/>
      <c r="E41" s="136" t="s">
        <v>114</v>
      </c>
      <c r="F41" s="144" t="s">
        <v>147</v>
      </c>
      <c r="G41" s="124"/>
      <c r="H41" s="90"/>
      <c r="I41" s="64" t="s">
        <v>83</v>
      </c>
      <c r="J41" s="92" t="s">
        <v>137</v>
      </c>
      <c r="K41" s="34">
        <v>46307</v>
      </c>
      <c r="L41" s="35">
        <v>46307</v>
      </c>
      <c r="M41" s="34"/>
      <c r="N41" s="35"/>
      <c r="O41" s="64">
        <f t="shared" si="13"/>
        <v>1</v>
      </c>
      <c r="P41" s="65">
        <f t="shared" si="14"/>
        <v>0</v>
      </c>
      <c r="Q41" s="64">
        <f t="shared" si="15"/>
        <v>0</v>
      </c>
      <c r="R41" s="66">
        <f t="shared" si="16"/>
        <v>0</v>
      </c>
      <c r="S41" s="67">
        <f t="shared" si="17"/>
        <v>0</v>
      </c>
      <c r="T41" s="68">
        <f t="shared" si="18"/>
        <v>0</v>
      </c>
      <c r="U41" s="69">
        <f t="shared" si="19"/>
        <v>0</v>
      </c>
      <c r="V41" s="177">
        <f t="shared" si="20"/>
        <v>0</v>
      </c>
      <c r="W41" s="171"/>
      <c r="X41" s="156"/>
      <c r="Y41" s="162"/>
      <c r="Z41" s="175"/>
      <c r="AA41" s="156"/>
      <c r="AB41" s="176"/>
      <c r="AC41" s="168" t="s">
        <v>32</v>
      </c>
      <c r="AD41" s="156"/>
      <c r="AE41" s="176"/>
    </row>
    <row r="42" spans="1:31" ht="30" customHeight="1">
      <c r="A42" s="2"/>
      <c r="B42" s="30"/>
      <c r="C42" s="83"/>
      <c r="D42" s="134"/>
      <c r="E42" s="136" t="s">
        <v>93</v>
      </c>
      <c r="F42" s="144" t="s">
        <v>148</v>
      </c>
      <c r="G42" s="124"/>
      <c r="H42" s="90"/>
      <c r="I42" s="64" t="s">
        <v>83</v>
      </c>
      <c r="J42" s="92" t="s">
        <v>138</v>
      </c>
      <c r="K42" s="34">
        <v>46307</v>
      </c>
      <c r="L42" s="35">
        <v>46307</v>
      </c>
      <c r="M42" s="34"/>
      <c r="N42" s="35"/>
      <c r="O42" s="64">
        <f t="shared" si="13"/>
        <v>1</v>
      </c>
      <c r="P42" s="65">
        <f t="shared" si="14"/>
        <v>0</v>
      </c>
      <c r="Q42" s="64">
        <f t="shared" si="15"/>
        <v>0</v>
      </c>
      <c r="R42" s="66">
        <f t="shared" si="16"/>
        <v>0</v>
      </c>
      <c r="S42" s="67">
        <f t="shared" si="17"/>
        <v>0</v>
      </c>
      <c r="T42" s="68">
        <f t="shared" si="18"/>
        <v>0</v>
      </c>
      <c r="U42" s="69">
        <f t="shared" si="19"/>
        <v>0</v>
      </c>
      <c r="V42" s="177">
        <f t="shared" si="20"/>
        <v>0</v>
      </c>
      <c r="W42" s="171"/>
      <c r="X42" s="156"/>
      <c r="Y42" s="162"/>
      <c r="Z42" s="175"/>
      <c r="AA42" s="156"/>
      <c r="AB42" s="176"/>
      <c r="AC42" s="168" t="s">
        <v>32</v>
      </c>
      <c r="AD42" s="156"/>
      <c r="AE42" s="176"/>
    </row>
    <row r="43" spans="1:31" ht="30" customHeight="1">
      <c r="A43" s="2"/>
      <c r="B43" s="30"/>
      <c r="C43" s="83"/>
      <c r="D43" s="134"/>
      <c r="E43" s="136" t="s">
        <v>127</v>
      </c>
      <c r="F43" s="144" t="s">
        <v>149</v>
      </c>
      <c r="G43" s="124"/>
      <c r="H43" s="90"/>
      <c r="I43" s="64" t="s">
        <v>83</v>
      </c>
      <c r="J43" s="92" t="s">
        <v>139</v>
      </c>
      <c r="K43" s="34">
        <v>46307</v>
      </c>
      <c r="L43" s="35">
        <v>46307</v>
      </c>
      <c r="M43" s="34"/>
      <c r="N43" s="35"/>
      <c r="O43" s="64">
        <f t="shared" si="13"/>
        <v>1</v>
      </c>
      <c r="P43" s="65">
        <f t="shared" si="14"/>
        <v>0</v>
      </c>
      <c r="Q43" s="64">
        <f t="shared" si="15"/>
        <v>0</v>
      </c>
      <c r="R43" s="66">
        <f t="shared" si="16"/>
        <v>0</v>
      </c>
      <c r="S43" s="67">
        <f t="shared" si="17"/>
        <v>0</v>
      </c>
      <c r="T43" s="68">
        <f t="shared" si="18"/>
        <v>0</v>
      </c>
      <c r="U43" s="69">
        <f t="shared" si="19"/>
        <v>0</v>
      </c>
      <c r="V43" s="177">
        <f t="shared" si="20"/>
        <v>0</v>
      </c>
      <c r="W43" s="171"/>
      <c r="X43" s="156"/>
      <c r="Y43" s="162"/>
      <c r="Z43" s="175"/>
      <c r="AA43" s="156"/>
      <c r="AB43" s="176"/>
      <c r="AC43" s="168" t="s">
        <v>32</v>
      </c>
      <c r="AD43" s="156"/>
      <c r="AE43" s="176"/>
    </row>
    <row r="44" spans="1:31" ht="30" customHeight="1">
      <c r="A44" s="2"/>
      <c r="B44" s="30"/>
      <c r="C44" s="83"/>
      <c r="D44" s="134"/>
      <c r="E44" s="136" t="s">
        <v>127</v>
      </c>
      <c r="F44" s="144" t="s">
        <v>150</v>
      </c>
      <c r="G44" s="124"/>
      <c r="H44" s="90"/>
      <c r="I44" s="64" t="s">
        <v>83</v>
      </c>
      <c r="J44" s="92" t="s">
        <v>140</v>
      </c>
      <c r="K44" s="34">
        <v>46307</v>
      </c>
      <c r="L44" s="35">
        <v>46307</v>
      </c>
      <c r="M44" s="34"/>
      <c r="N44" s="35"/>
      <c r="O44" s="64">
        <f t="shared" si="13"/>
        <v>1</v>
      </c>
      <c r="P44" s="65">
        <f t="shared" si="14"/>
        <v>0</v>
      </c>
      <c r="Q44" s="64">
        <f t="shared" si="15"/>
        <v>0</v>
      </c>
      <c r="R44" s="66">
        <f t="shared" si="16"/>
        <v>0</v>
      </c>
      <c r="S44" s="67">
        <f t="shared" si="17"/>
        <v>0</v>
      </c>
      <c r="T44" s="68">
        <f t="shared" si="18"/>
        <v>0</v>
      </c>
      <c r="U44" s="69">
        <f t="shared" si="19"/>
        <v>0</v>
      </c>
      <c r="V44" s="177">
        <f t="shared" si="20"/>
        <v>0</v>
      </c>
      <c r="W44" s="171"/>
      <c r="X44" s="156"/>
      <c r="Y44" s="162"/>
      <c r="Z44" s="175"/>
      <c r="AA44" s="156"/>
      <c r="AB44" s="176"/>
      <c r="AC44" s="168" t="s">
        <v>32</v>
      </c>
      <c r="AD44" s="156"/>
      <c r="AE44" s="172"/>
    </row>
    <row r="45" spans="1:31" ht="30" customHeight="1">
      <c r="A45" s="2"/>
      <c r="B45" s="30"/>
      <c r="C45" s="83"/>
      <c r="D45" s="134"/>
      <c r="E45" s="136" t="s">
        <v>115</v>
      </c>
      <c r="F45" s="144" t="s">
        <v>151</v>
      </c>
      <c r="G45" s="124"/>
      <c r="H45" s="90"/>
      <c r="I45" s="64" t="s">
        <v>83</v>
      </c>
      <c r="J45" s="92" t="s">
        <v>141</v>
      </c>
      <c r="K45" s="34">
        <v>46307</v>
      </c>
      <c r="L45" s="35">
        <v>46307</v>
      </c>
      <c r="M45" s="34"/>
      <c r="N45" s="35"/>
      <c r="O45" s="64">
        <f t="shared" si="13"/>
        <v>1</v>
      </c>
      <c r="P45" s="65">
        <f t="shared" si="14"/>
        <v>0</v>
      </c>
      <c r="Q45" s="64">
        <f t="shared" si="15"/>
        <v>0</v>
      </c>
      <c r="R45" s="66">
        <f t="shared" si="16"/>
        <v>0</v>
      </c>
      <c r="S45" s="67">
        <f t="shared" si="17"/>
        <v>0</v>
      </c>
      <c r="T45" s="68">
        <f t="shared" si="18"/>
        <v>0</v>
      </c>
      <c r="U45" s="69">
        <f t="shared" si="19"/>
        <v>0</v>
      </c>
      <c r="V45" s="177">
        <f t="shared" si="20"/>
        <v>0</v>
      </c>
      <c r="W45" s="171"/>
      <c r="X45" s="156"/>
      <c r="Y45" s="162"/>
      <c r="Z45" s="175"/>
      <c r="AA45" s="156"/>
      <c r="AB45" s="176"/>
      <c r="AC45" s="168" t="s">
        <v>154</v>
      </c>
      <c r="AD45" s="156"/>
      <c r="AE45" s="172"/>
    </row>
    <row r="46" spans="1:31" ht="30" customHeight="1">
      <c r="A46" s="2"/>
      <c r="B46" s="30"/>
      <c r="C46" s="83"/>
      <c r="D46" s="134"/>
      <c r="E46" s="136" t="s">
        <v>115</v>
      </c>
      <c r="F46" s="144" t="s">
        <v>152</v>
      </c>
      <c r="G46" s="124"/>
      <c r="H46" s="76"/>
      <c r="I46" s="64" t="s">
        <v>83</v>
      </c>
      <c r="J46" s="88" t="s">
        <v>153</v>
      </c>
      <c r="K46" s="34">
        <v>46307</v>
      </c>
      <c r="L46" s="35">
        <v>46307</v>
      </c>
      <c r="M46" s="36"/>
      <c r="N46" s="37"/>
      <c r="O46" s="76">
        <f t="shared" si="2"/>
        <v>1</v>
      </c>
      <c r="P46" s="78">
        <f t="shared" si="3"/>
        <v>0</v>
      </c>
      <c r="Q46" s="76">
        <f t="shared" si="4"/>
        <v>0</v>
      </c>
      <c r="R46" s="80">
        <f t="shared" si="5"/>
        <v>0</v>
      </c>
      <c r="S46" s="150">
        <f t="shared" si="6"/>
        <v>0</v>
      </c>
      <c r="T46" s="151">
        <f t="shared" si="7"/>
        <v>0</v>
      </c>
      <c r="U46" s="152">
        <f t="shared" si="8"/>
        <v>0</v>
      </c>
      <c r="V46" s="178">
        <f t="shared" si="1"/>
        <v>0</v>
      </c>
      <c r="W46" s="195"/>
      <c r="X46" s="196"/>
      <c r="Y46" s="194"/>
      <c r="Z46" s="203"/>
      <c r="AA46" s="204"/>
      <c r="AB46" s="205"/>
      <c r="AC46" s="206" t="s">
        <v>154</v>
      </c>
      <c r="AD46" s="204"/>
      <c r="AE46" s="197"/>
    </row>
    <row r="47" spans="1:31" ht="30" customHeight="1">
      <c r="A47" s="2"/>
      <c r="B47" s="30">
        <v>4</v>
      </c>
      <c r="C47" s="81">
        <v>0.15</v>
      </c>
      <c r="D47" s="97" t="s">
        <v>77</v>
      </c>
      <c r="E47" s="136" t="s">
        <v>62</v>
      </c>
      <c r="F47" s="145" t="s">
        <v>63</v>
      </c>
      <c r="G47" s="146"/>
      <c r="H47" s="61" t="s">
        <v>82</v>
      </c>
      <c r="I47" s="62"/>
      <c r="J47" s="82" t="s">
        <v>64</v>
      </c>
      <c r="K47" s="34">
        <v>46303</v>
      </c>
      <c r="L47" s="35">
        <v>46303</v>
      </c>
      <c r="M47" s="34"/>
      <c r="N47" s="35"/>
      <c r="O47" s="62">
        <f t="shared" si="2"/>
        <v>1</v>
      </c>
      <c r="P47" s="65">
        <f t="shared" si="3"/>
        <v>0</v>
      </c>
      <c r="Q47" s="62">
        <f t="shared" si="4"/>
        <v>0</v>
      </c>
      <c r="R47" s="66">
        <f t="shared" si="5"/>
        <v>0</v>
      </c>
      <c r="S47" s="147">
        <f t="shared" si="6"/>
        <v>0</v>
      </c>
      <c r="T47" s="148">
        <f t="shared" si="7"/>
        <v>0</v>
      </c>
      <c r="U47" s="149">
        <f t="shared" si="8"/>
        <v>0</v>
      </c>
      <c r="V47" s="179">
        <f t="shared" si="1"/>
        <v>0</v>
      </c>
      <c r="W47" s="188"/>
      <c r="X47" s="189"/>
      <c r="Y47" s="199" t="s">
        <v>32</v>
      </c>
      <c r="Z47" s="188"/>
      <c r="AA47" s="189"/>
      <c r="AB47" s="190"/>
      <c r="AC47" s="191"/>
      <c r="AD47" s="189"/>
      <c r="AE47" s="190"/>
    </row>
    <row r="48" spans="1:31" ht="30" customHeight="1">
      <c r="A48" s="2"/>
      <c r="B48" s="30"/>
      <c r="C48" s="83"/>
      <c r="D48" s="60"/>
      <c r="E48" s="136" t="s">
        <v>65</v>
      </c>
      <c r="F48" s="144" t="s">
        <v>66</v>
      </c>
      <c r="G48" s="124"/>
      <c r="H48" s="61" t="s">
        <v>82</v>
      </c>
      <c r="I48" s="62"/>
      <c r="J48" s="82" t="s">
        <v>67</v>
      </c>
      <c r="K48" s="34">
        <v>46307</v>
      </c>
      <c r="L48" s="34">
        <v>46307</v>
      </c>
      <c r="M48" s="34"/>
      <c r="N48" s="35"/>
      <c r="O48" s="64">
        <f t="shared" si="2"/>
        <v>1</v>
      </c>
      <c r="P48" s="65">
        <f t="shared" si="3"/>
        <v>0</v>
      </c>
      <c r="Q48" s="64">
        <f t="shared" si="4"/>
        <v>0</v>
      </c>
      <c r="R48" s="66">
        <f t="shared" si="5"/>
        <v>0</v>
      </c>
      <c r="S48" s="67">
        <f t="shared" si="6"/>
        <v>0</v>
      </c>
      <c r="T48" s="68">
        <f t="shared" si="7"/>
        <v>0</v>
      </c>
      <c r="U48" s="69">
        <f t="shared" si="8"/>
        <v>0</v>
      </c>
      <c r="V48" s="177">
        <f t="shared" si="1"/>
        <v>0</v>
      </c>
      <c r="W48" s="171"/>
      <c r="X48" s="156"/>
      <c r="Y48" s="162"/>
      <c r="Z48" s="171"/>
      <c r="AA48" s="159"/>
      <c r="AB48" s="172"/>
      <c r="AC48" s="168" t="s">
        <v>154</v>
      </c>
      <c r="AD48" s="159"/>
      <c r="AE48" s="176"/>
    </row>
    <row r="49" spans="1:31" ht="30" customHeight="1">
      <c r="A49" s="3"/>
      <c r="B49" s="30"/>
      <c r="C49" s="83"/>
      <c r="D49" s="60"/>
      <c r="E49" s="136" t="s">
        <v>68</v>
      </c>
      <c r="F49" s="144" t="s">
        <v>69</v>
      </c>
      <c r="G49" s="124"/>
      <c r="H49" s="98" t="s">
        <v>82</v>
      </c>
      <c r="I49" s="99"/>
      <c r="J49" s="100" t="s">
        <v>70</v>
      </c>
      <c r="K49" s="34">
        <v>46307</v>
      </c>
      <c r="L49" s="34">
        <v>46307</v>
      </c>
      <c r="M49" s="34"/>
      <c r="N49" s="35"/>
      <c r="O49" s="101">
        <f t="shared" si="2"/>
        <v>1</v>
      </c>
      <c r="P49" s="65">
        <f t="shared" si="3"/>
        <v>0</v>
      </c>
      <c r="Q49" s="101">
        <f t="shared" si="4"/>
        <v>0</v>
      </c>
      <c r="R49" s="66">
        <f t="shared" si="5"/>
        <v>0</v>
      </c>
      <c r="S49" s="102">
        <f t="shared" si="6"/>
        <v>0</v>
      </c>
      <c r="T49" s="68">
        <f t="shared" si="7"/>
        <v>0</v>
      </c>
      <c r="U49" s="69">
        <f t="shared" si="8"/>
        <v>0</v>
      </c>
      <c r="V49" s="177">
        <f t="shared" si="1"/>
        <v>0</v>
      </c>
      <c r="W49" s="171"/>
      <c r="X49" s="160"/>
      <c r="Y49" s="165"/>
      <c r="Z49" s="173"/>
      <c r="AA49" s="160"/>
      <c r="AB49" s="174"/>
      <c r="AC49" s="168" t="s">
        <v>154</v>
      </c>
      <c r="AD49" s="160"/>
      <c r="AE49" s="184"/>
    </row>
    <row r="50" spans="1:31" ht="30" customHeight="1">
      <c r="A50" s="2"/>
      <c r="B50" s="30"/>
      <c r="C50" s="83"/>
      <c r="D50" s="60"/>
      <c r="E50" s="136" t="s">
        <v>78</v>
      </c>
      <c r="F50" s="144" t="s">
        <v>79</v>
      </c>
      <c r="G50" s="124"/>
      <c r="H50" s="103"/>
      <c r="I50" s="99" t="s">
        <v>83</v>
      </c>
      <c r="J50" s="100" t="s">
        <v>80</v>
      </c>
      <c r="K50" s="34">
        <v>46308</v>
      </c>
      <c r="L50" s="34">
        <v>46308</v>
      </c>
      <c r="M50" s="34"/>
      <c r="N50" s="35"/>
      <c r="O50" s="101">
        <f t="shared" si="2"/>
        <v>1</v>
      </c>
      <c r="P50" s="65">
        <f t="shared" si="3"/>
        <v>0</v>
      </c>
      <c r="Q50" s="101">
        <f t="shared" si="4"/>
        <v>0</v>
      </c>
      <c r="R50" s="66">
        <f t="shared" si="5"/>
        <v>0</v>
      </c>
      <c r="S50" s="102">
        <f t="shared" si="6"/>
        <v>0</v>
      </c>
      <c r="T50" s="68">
        <f t="shared" si="7"/>
        <v>0</v>
      </c>
      <c r="U50" s="69">
        <f t="shared" si="8"/>
        <v>0</v>
      </c>
      <c r="V50" s="177">
        <f t="shared" si="1"/>
        <v>0</v>
      </c>
      <c r="W50" s="171"/>
      <c r="X50" s="156"/>
      <c r="Y50" s="162"/>
      <c r="Z50" s="171"/>
      <c r="AA50" s="156"/>
      <c r="AB50" s="172"/>
      <c r="AC50" s="158"/>
      <c r="AD50" s="159" t="s">
        <v>154</v>
      </c>
      <c r="AE50" s="176"/>
    </row>
    <row r="51" spans="1:31" ht="30" customHeight="1">
      <c r="A51" s="2"/>
      <c r="B51" s="33"/>
      <c r="C51" s="86"/>
      <c r="D51" s="74"/>
      <c r="E51" s="136"/>
      <c r="F51" s="143"/>
      <c r="G51" s="126"/>
      <c r="H51" s="75"/>
      <c r="I51" s="76"/>
      <c r="J51" s="88"/>
      <c r="K51" s="40"/>
      <c r="L51" s="40"/>
      <c r="M51" s="40"/>
      <c r="N51" s="40"/>
      <c r="O51" s="76">
        <f t="shared" si="2"/>
        <v>0</v>
      </c>
      <c r="P51" s="78">
        <f t="shared" si="3"/>
        <v>0</v>
      </c>
      <c r="Q51" s="76">
        <f t="shared" si="4"/>
        <v>0</v>
      </c>
      <c r="R51" s="80">
        <f t="shared" si="5"/>
        <v>0</v>
      </c>
      <c r="S51" s="67">
        <f t="shared" si="6"/>
        <v>0</v>
      </c>
      <c r="T51" s="68">
        <f t="shared" si="7"/>
        <v>0</v>
      </c>
      <c r="U51" s="69">
        <f t="shared" si="8"/>
        <v>0</v>
      </c>
      <c r="V51" s="177">
        <f t="shared" si="1"/>
        <v>0</v>
      </c>
      <c r="W51" s="171"/>
      <c r="X51" s="156"/>
      <c r="Y51" s="162"/>
      <c r="Z51" s="171"/>
      <c r="AA51" s="156"/>
      <c r="AB51" s="172"/>
      <c r="AC51" s="158"/>
      <c r="AD51" s="156"/>
      <c r="AE51" s="176"/>
    </row>
    <row r="52" spans="1:31" ht="30" customHeight="1">
      <c r="A52" s="2"/>
      <c r="B52" s="30">
        <v>5</v>
      </c>
      <c r="C52" s="81">
        <v>0.15</v>
      </c>
      <c r="D52" s="60" t="s">
        <v>76</v>
      </c>
      <c r="E52" s="136" t="s">
        <v>81</v>
      </c>
      <c r="F52" s="145" t="s">
        <v>71</v>
      </c>
      <c r="G52" s="146"/>
      <c r="H52" s="61" t="s">
        <v>82</v>
      </c>
      <c r="I52" s="62" t="s">
        <v>83</v>
      </c>
      <c r="J52" s="85" t="s">
        <v>72</v>
      </c>
      <c r="K52" s="34">
        <v>46309</v>
      </c>
      <c r="L52" s="34">
        <v>46309</v>
      </c>
      <c r="M52" s="34"/>
      <c r="N52" s="34"/>
      <c r="O52" s="62"/>
      <c r="P52" s="65">
        <f t="shared" si="3"/>
        <v>0</v>
      </c>
      <c r="Q52" s="62">
        <f t="shared" si="4"/>
        <v>0</v>
      </c>
      <c r="R52" s="66">
        <f t="shared" si="5"/>
        <v>0</v>
      </c>
      <c r="S52" s="67">
        <f t="shared" si="6"/>
        <v>0</v>
      </c>
      <c r="T52" s="68">
        <f t="shared" si="7"/>
        <v>0</v>
      </c>
      <c r="U52" s="69">
        <f t="shared" si="8"/>
        <v>0</v>
      </c>
      <c r="V52" s="177">
        <f t="shared" si="1"/>
        <v>0</v>
      </c>
      <c r="W52" s="171"/>
      <c r="X52" s="156"/>
      <c r="Y52" s="162"/>
      <c r="Z52" s="171"/>
      <c r="AA52" s="156"/>
      <c r="AB52" s="172"/>
      <c r="AC52" s="158"/>
      <c r="AD52" s="156"/>
      <c r="AE52" s="176" t="s">
        <v>32</v>
      </c>
    </row>
    <row r="53" spans="1:31" ht="30" customHeight="1">
      <c r="A53" s="2"/>
      <c r="B53" s="30"/>
      <c r="C53" s="83"/>
      <c r="D53" s="60"/>
      <c r="E53" s="136" t="s">
        <v>73</v>
      </c>
      <c r="F53" s="124" t="s">
        <v>74</v>
      </c>
      <c r="G53" s="125"/>
      <c r="H53" s="84" t="s">
        <v>82</v>
      </c>
      <c r="I53" s="64" t="s">
        <v>83</v>
      </c>
      <c r="J53" s="85" t="s">
        <v>75</v>
      </c>
      <c r="K53" s="34">
        <v>46309</v>
      </c>
      <c r="L53" s="34">
        <v>46309</v>
      </c>
      <c r="M53" s="72"/>
      <c r="N53" s="72"/>
      <c r="O53" s="64">
        <f t="shared" si="2"/>
        <v>1</v>
      </c>
      <c r="P53" s="65">
        <f t="shared" si="3"/>
        <v>0</v>
      </c>
      <c r="Q53" s="64">
        <f t="shared" si="4"/>
        <v>0</v>
      </c>
      <c r="R53" s="66">
        <f t="shared" si="5"/>
        <v>0</v>
      </c>
      <c r="S53" s="67">
        <f t="shared" si="6"/>
        <v>0</v>
      </c>
      <c r="T53" s="68">
        <f t="shared" si="7"/>
        <v>0</v>
      </c>
      <c r="U53" s="69">
        <f t="shared" si="8"/>
        <v>0</v>
      </c>
      <c r="V53" s="177">
        <f t="shared" si="1"/>
        <v>0</v>
      </c>
      <c r="W53" s="171"/>
      <c r="X53" s="156"/>
      <c r="Y53" s="162"/>
      <c r="Z53" s="171"/>
      <c r="AA53" s="156"/>
      <c r="AB53" s="172"/>
      <c r="AC53" s="158"/>
      <c r="AD53" s="156"/>
      <c r="AE53" s="176" t="s">
        <v>32</v>
      </c>
    </row>
    <row r="54" spans="1:31" ht="30" customHeight="1">
      <c r="A54" s="4"/>
      <c r="B54" s="29"/>
      <c r="C54" s="83"/>
      <c r="D54" s="60"/>
      <c r="E54" s="136"/>
      <c r="F54" s="124"/>
      <c r="G54" s="125"/>
      <c r="H54" s="84"/>
      <c r="I54" s="64"/>
      <c r="J54" s="85"/>
      <c r="K54" s="72"/>
      <c r="L54" s="72"/>
      <c r="M54" s="72"/>
      <c r="N54" s="72"/>
      <c r="O54" s="64">
        <f t="shared" si="2"/>
        <v>0</v>
      </c>
      <c r="P54" s="65">
        <f t="shared" si="3"/>
        <v>0</v>
      </c>
      <c r="Q54" s="64">
        <f t="shared" si="4"/>
        <v>0</v>
      </c>
      <c r="R54" s="66">
        <f t="shared" si="5"/>
        <v>0</v>
      </c>
      <c r="S54" s="67">
        <f t="shared" si="6"/>
        <v>0</v>
      </c>
      <c r="T54" s="68">
        <f t="shared" si="7"/>
        <v>0</v>
      </c>
      <c r="U54" s="69">
        <f t="shared" si="8"/>
        <v>0</v>
      </c>
      <c r="V54" s="177">
        <f t="shared" si="1"/>
        <v>0</v>
      </c>
      <c r="W54" s="171"/>
      <c r="X54" s="156"/>
      <c r="Y54" s="162"/>
      <c r="Z54" s="171"/>
      <c r="AA54" s="156"/>
      <c r="AB54" s="172"/>
      <c r="AC54" s="158"/>
      <c r="AD54" s="156"/>
      <c r="AE54" s="176" t="s">
        <v>32</v>
      </c>
    </row>
    <row r="55" spans="1:31" ht="30" customHeight="1">
      <c r="A55" s="5"/>
      <c r="B55" s="29"/>
      <c r="C55" s="83"/>
      <c r="D55" s="60"/>
      <c r="E55" s="136"/>
      <c r="F55" s="124"/>
      <c r="G55" s="125"/>
      <c r="H55" s="84"/>
      <c r="I55" s="64"/>
      <c r="J55" s="85"/>
      <c r="K55" s="72"/>
      <c r="L55" s="72"/>
      <c r="M55" s="72"/>
      <c r="N55" s="72"/>
      <c r="O55" s="64">
        <f t="shared" si="2"/>
        <v>0</v>
      </c>
      <c r="P55" s="65">
        <f t="shared" si="3"/>
        <v>0</v>
      </c>
      <c r="Q55" s="64">
        <f t="shared" si="4"/>
        <v>0</v>
      </c>
      <c r="R55" s="66">
        <f t="shared" si="5"/>
        <v>0</v>
      </c>
      <c r="S55" s="67">
        <f t="shared" si="6"/>
        <v>0</v>
      </c>
      <c r="T55" s="68">
        <f t="shared" si="7"/>
        <v>0</v>
      </c>
      <c r="U55" s="69">
        <f t="shared" si="8"/>
        <v>0</v>
      </c>
      <c r="V55" s="177">
        <f t="shared" si="1"/>
        <v>0</v>
      </c>
      <c r="W55" s="171"/>
      <c r="X55" s="156"/>
      <c r="Y55" s="162"/>
      <c r="Z55" s="171"/>
      <c r="AA55" s="156"/>
      <c r="AB55" s="172"/>
      <c r="AC55" s="158"/>
      <c r="AD55" s="156"/>
      <c r="AE55" s="176"/>
    </row>
    <row r="56" spans="1:31" ht="30" customHeight="1">
      <c r="A56" s="2"/>
      <c r="B56" s="42"/>
      <c r="C56" s="86"/>
      <c r="D56" s="74"/>
      <c r="E56" s="136"/>
      <c r="F56" s="124"/>
      <c r="G56" s="125"/>
      <c r="H56" s="89"/>
      <c r="I56" s="104"/>
      <c r="J56" s="105"/>
      <c r="K56" s="106"/>
      <c r="L56" s="106"/>
      <c r="M56" s="106"/>
      <c r="N56" s="106"/>
      <c r="O56" s="64">
        <f t="shared" si="2"/>
        <v>0</v>
      </c>
      <c r="P56" s="65">
        <f t="shared" si="3"/>
        <v>0</v>
      </c>
      <c r="Q56" s="64">
        <f t="shared" si="4"/>
        <v>0</v>
      </c>
      <c r="R56" s="66">
        <f t="shared" si="5"/>
        <v>0</v>
      </c>
      <c r="S56" s="67">
        <f t="shared" si="6"/>
        <v>0</v>
      </c>
      <c r="T56" s="68">
        <f t="shared" si="7"/>
        <v>0</v>
      </c>
      <c r="U56" s="69">
        <f t="shared" si="8"/>
        <v>0</v>
      </c>
      <c r="V56" s="177">
        <f t="shared" si="1"/>
        <v>0</v>
      </c>
      <c r="W56" s="207"/>
      <c r="X56" s="208"/>
      <c r="Y56" s="209"/>
      <c r="Z56" s="207"/>
      <c r="AA56" s="208"/>
      <c r="AB56" s="210"/>
      <c r="AC56" s="211"/>
      <c r="AD56" s="208"/>
      <c r="AE56" s="212"/>
    </row>
    <row r="57" spans="1:31" ht="33" customHeight="1">
      <c r="A57" s="6"/>
      <c r="B57" s="130"/>
      <c r="C57" s="130"/>
      <c r="D57" s="130"/>
      <c r="E57" s="130"/>
      <c r="F57" s="130"/>
      <c r="G57" s="130"/>
      <c r="H57" s="43"/>
      <c r="I57" s="43"/>
      <c r="J57" s="107"/>
      <c r="K57" s="107"/>
      <c r="L57" s="107"/>
      <c r="M57" s="44"/>
      <c r="N57" s="44"/>
      <c r="O57" s="45">
        <f>SUM(O6:O56)</f>
        <v>37</v>
      </c>
      <c r="P57" s="46">
        <f>SUM(P6:P56)</f>
        <v>3</v>
      </c>
      <c r="Q57" s="44">
        <f>SUM(Q6:Q56)</f>
        <v>3</v>
      </c>
      <c r="R57" s="46">
        <f>SUM(R6:R56)</f>
        <v>3</v>
      </c>
      <c r="S57" s="47">
        <f t="shared" si="6"/>
        <v>8.1081081081081086E-2</v>
      </c>
      <c r="T57" s="47">
        <f t="shared" si="7"/>
        <v>8.1081081081081086E-2</v>
      </c>
      <c r="U57" s="48">
        <f>U5</f>
        <v>0.15</v>
      </c>
      <c r="V57" s="180">
        <f t="shared" si="1"/>
        <v>6.8918918918918909E-2</v>
      </c>
      <c r="W57" s="213"/>
      <c r="X57" s="214"/>
      <c r="Y57" s="214"/>
      <c r="Z57" s="214"/>
      <c r="AA57" s="214"/>
      <c r="AB57" s="214"/>
      <c r="AC57" s="214"/>
      <c r="AD57" s="214"/>
      <c r="AE57" s="214"/>
    </row>
    <row r="58" spans="1:31" ht="15.75" customHeight="1"/>
    <row r="59" spans="1:31" ht="15.75" customHeight="1"/>
    <row r="60" spans="1:31" ht="6" customHeight="1"/>
    <row r="61" spans="1:31" ht="15.75" customHeight="1"/>
    <row r="62" spans="1:31" ht="15.75" customHeight="1"/>
    <row r="63" spans="1:31" ht="15.75" customHeight="1"/>
    <row r="64" spans="1:31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</sheetData>
  <mergeCells count="74">
    <mergeCell ref="F43:G43"/>
    <mergeCell ref="F45:G45"/>
    <mergeCell ref="W57:AE57"/>
    <mergeCell ref="F38:G38"/>
    <mergeCell ref="F39:G39"/>
    <mergeCell ref="F40:G40"/>
    <mergeCell ref="F41:G41"/>
    <mergeCell ref="F42:G42"/>
    <mergeCell ref="B57:G57"/>
    <mergeCell ref="W3:AE3"/>
    <mergeCell ref="W4:AE4"/>
    <mergeCell ref="F52:G52"/>
    <mergeCell ref="F53:G53"/>
    <mergeCell ref="F54:G54"/>
    <mergeCell ref="F55:G55"/>
    <mergeCell ref="F56:G56"/>
    <mergeCell ref="F47:G47"/>
    <mergeCell ref="F48:G48"/>
    <mergeCell ref="F49:G49"/>
    <mergeCell ref="F50:G50"/>
    <mergeCell ref="F51:G51"/>
    <mergeCell ref="F30:G30"/>
    <mergeCell ref="F31:G31"/>
    <mergeCell ref="F44:G44"/>
    <mergeCell ref="F46:G46"/>
    <mergeCell ref="F22:G22"/>
    <mergeCell ref="F25:G25"/>
    <mergeCell ref="F27:G27"/>
    <mergeCell ref="F28:G28"/>
    <mergeCell ref="F29:G29"/>
    <mergeCell ref="F23:G23"/>
    <mergeCell ref="F24:G24"/>
    <mergeCell ref="F26:G26"/>
    <mergeCell ref="F32:G32"/>
    <mergeCell ref="F33:G33"/>
    <mergeCell ref="F34:G34"/>
    <mergeCell ref="F35:G35"/>
    <mergeCell ref="F36:G36"/>
    <mergeCell ref="F37:G37"/>
    <mergeCell ref="F16:G16"/>
    <mergeCell ref="F17:G17"/>
    <mergeCell ref="F18:G18"/>
    <mergeCell ref="F20:G20"/>
    <mergeCell ref="F21:G21"/>
    <mergeCell ref="F19:G19"/>
    <mergeCell ref="F11:G11"/>
    <mergeCell ref="F12:G12"/>
    <mergeCell ref="F13:G13"/>
    <mergeCell ref="F14:G14"/>
    <mergeCell ref="F15:G15"/>
    <mergeCell ref="F6:G6"/>
    <mergeCell ref="F7:G7"/>
    <mergeCell ref="F8:G8"/>
    <mergeCell ref="F9:G9"/>
    <mergeCell ref="F10:G10"/>
    <mergeCell ref="R3:R4"/>
    <mergeCell ref="S3:S4"/>
    <mergeCell ref="T3:T4"/>
    <mergeCell ref="U3:V3"/>
    <mergeCell ref="H4:H5"/>
    <mergeCell ref="I4:I5"/>
    <mergeCell ref="O1:Q1"/>
    <mergeCell ref="B3:E4"/>
    <mergeCell ref="F3:G5"/>
    <mergeCell ref="H3:I3"/>
    <mergeCell ref="J3:J5"/>
    <mergeCell ref="K3:K4"/>
    <mergeCell ref="L3:L4"/>
    <mergeCell ref="M3:M4"/>
    <mergeCell ref="N3:N4"/>
    <mergeCell ref="O3:O4"/>
    <mergeCell ref="P3:P4"/>
    <mergeCell ref="Q3:Q4"/>
    <mergeCell ref="D5:E5"/>
  </mergeCells>
  <phoneticPr fontId="31" type="noConversion"/>
  <conditionalFormatting sqref="O6:R56">
    <cfRule type="cellIs" dxfId="2" priority="4" operator="equal">
      <formula>0</formula>
    </cfRule>
  </conditionalFormatting>
  <conditionalFormatting sqref="V6:V56">
    <cfRule type="colorScale" priority="2">
      <colorScale>
        <cfvo type="formula" val="-100%"/>
        <cfvo type="formula" val="0"/>
        <cfvo type="formula" val="100%"/>
        <color rgb="FFE06666"/>
        <color rgb="FFFFFFFF"/>
        <color rgb="FF00FF00"/>
      </colorScale>
    </cfRule>
  </conditionalFormatting>
  <conditionalFormatting sqref="W6:AE56">
    <cfRule type="expression" dxfId="1" priority="6">
      <formula>AND(W$5 &gt;= $M6, W$5 &lt;= $N6, W$5 &lt;=$L$1)</formula>
    </cfRule>
    <cfRule type="expression" dxfId="0" priority="7">
      <formula>AND(W$5 &gt;= $K6, W$5 &lt;= $L6)</formula>
    </cfRule>
  </conditionalFormatting>
  <conditionalFormatting sqref="S6:V56">
    <cfRule type="colorScale" priority="10">
      <colorScale>
        <cfvo type="percent" val="0"/>
        <cfvo type="max"/>
        <color rgb="FFFFFFFF"/>
        <color rgb="FF44F300"/>
      </colorScale>
    </cfRule>
  </conditionalFormatting>
  <dataValidations count="1">
    <dataValidation type="custom" allowBlank="1" showDropDown="1" showErrorMessage="1" sqref="J6:N11 K12:N56" xr:uid="{00000000-0002-0000-0000-000000000000}">
      <formula1>OR(NOT(ISERROR(DATEVALUE(J6))), AND(ISNUMBER(J6), LEFT(CELL("format", J6))="D"))</formula1>
      <formula2>0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0"/>
  <sheetViews>
    <sheetView showGridLines="0" workbookViewId="0"/>
  </sheetViews>
  <sheetFormatPr defaultColWidth="12.5703125" defaultRowHeight="12.75"/>
  <cols>
    <col min="1" max="1" width="16.85546875" customWidth="1"/>
  </cols>
  <sheetData>
    <row r="1" spans="1:2" ht="15" customHeight="1">
      <c r="A1" s="8" t="s">
        <v>21</v>
      </c>
    </row>
    <row r="2" spans="1:2" ht="15" customHeight="1">
      <c r="A2" s="9">
        <v>46220</v>
      </c>
      <c r="B2" s="10" t="s">
        <v>22</v>
      </c>
    </row>
    <row r="3" spans="1:2" ht="15" customHeight="1">
      <c r="A3" s="9"/>
      <c r="B3" s="7"/>
    </row>
    <row r="4" spans="1:2" ht="15" customHeight="1">
      <c r="A4" s="9"/>
      <c r="B4" s="7"/>
    </row>
    <row r="5" spans="1:2" ht="15" customHeight="1">
      <c r="A5" s="9"/>
      <c r="B5" s="7"/>
    </row>
    <row r="6" spans="1:2" ht="15" customHeight="1">
      <c r="A6" s="9"/>
      <c r="B6" s="7"/>
    </row>
    <row r="7" spans="1:2" ht="15" customHeight="1">
      <c r="A7" s="9"/>
      <c r="B7" s="7"/>
    </row>
    <row r="8" spans="1:2" ht="15" customHeight="1">
      <c r="A8" s="9"/>
      <c r="B8" s="7"/>
    </row>
    <row r="9" spans="1:2" ht="15" customHeight="1">
      <c r="A9" s="9"/>
      <c r="B9" s="7"/>
    </row>
    <row r="10" spans="1:2" ht="15" customHeight="1">
      <c r="A10" s="9"/>
      <c r="B10" s="7"/>
    </row>
  </sheetData>
  <phoneticPr fontId="3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프로젝트WBS</vt:lpstr>
      <vt:lpstr>휴일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YoungNo Lee</cp:lastModifiedBy>
  <dcterms:modified xsi:type="dcterms:W3CDTF">2026-10-07T05:13:37Z</dcterms:modified>
</cp:coreProperties>
</file>