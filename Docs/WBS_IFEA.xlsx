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d3d009ddd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WBS" sheetId="1" r:id="Re54310f1d2654134"/>
    <x:sheet xmlns:r="http://schemas.openxmlformats.org/officeDocument/2006/relationships" name="휴일" sheetId="2" r:id="Ra7b717aa03144903"/>
  </x:sheets>
</x:workbook>
</file>

<file path=xl/sharedStrings.xml><?xml version="1.0" encoding="utf-8"?>
<x:sst xmlns:x="http://schemas.openxmlformats.org/spreadsheetml/2006/main">
  <x:si>
    <x:t xml:space="preserve">Interior Finish Cost &amp; Energy Analysis 프로젝트 WBS</x:t>
  </x:si>
  <x:si>
    <x:t xml:space="preserve">실적기준일 : </x:t>
  </x:si>
  <x:si>
    <x:t xml:space="preserve">SPI</x:t>
  </x:si>
  <x:si>
    <x:t xml:space="preserve">단계</x:t>
  </x:si>
  <x:si>
    <x:t xml:space="preserve">TASK</x:t>
  </x:si>
  <x:si>
    <x:t xml:space="preserve">담당</x:t>
  </x:si>
  <x:si>
    <x:t xml:space="preserve">산출물</x:t>
  </x:si>
  <x:si>
    <x:t xml:space="preserve">계획
시작일</x:t>
  </x:si>
  <x:si>
    <x:t xml:space="preserve">예상
완료일</x:t>
  </x:si>
  <x:si>
    <x:t xml:space="preserve">실제
시작일</x:t>
  </x:si>
  <x:si>
    <x:t xml:space="preserve">실제
완료(예정)일</x:t>
  </x:si>
  <x:si>
    <x:t xml:space="preserve">계획
기간</x:t>
  </x:si>
  <x:si>
    <x:t xml:space="preserve">실제
기간</x:t>
  </x:si>
  <x:si>
    <x:t xml:space="preserve">계획
진행</x:t>
  </x:si>
  <x:si>
    <x:t xml:space="preserve">실제
진행</x:t>
  </x:si>
  <x:si>
    <x:t xml:space="preserve">계획
완료율</x:t>
  </x:si>
  <x:si>
    <x:t xml:space="preserve">작업
완료율</x:t>
  </x:si>
  <x:si>
    <x:t xml:space="preserve">프로젝트 실적</x:t>
  </x:si>
  <x:si>
    <x:t xml:space="preserve">6일 개발 일정</x:t>
  </x:si>
  <x:si>
    <x:t xml:space="preserve">팀원 A</x:t>
  </x:si>
  <x:si>
    <x:t xml:space="preserve">팀원 B</x:t>
  </x:si>
  <x:si>
    <x:t xml:space="preserve">진척율</x:t>
  </x:si>
  <x:si>
    <x:t xml:space="preserve">달성율</x:t>
  </x:si>
  <x:si>
    <x:t xml:space="preserve">26. 10월</x:t>
  </x:si>
  <x:si>
    <x:t xml:space="preserve">가중치</x:t>
  </x:si>
  <x:si>
    <x:t xml:space="preserve">수행단계</x:t>
  </x:si>
  <x:si>
    <x:t xml:space="preserve">준비/분석/기획/SRS</x:t>
  </x:si>
  <x:si>
    <x:t xml:space="preserve">기획</x:t>
  </x:si>
  <x:si>
    <x:t xml:space="preserve">박봉현</x:t>
  </x:si>
  <x:si>
    <x:t xml:space="preserve">이영노</x:t>
  </x:si>
  <x:si>
    <x:t xml:space="preserve">프로젝트 계획서</x:t>
  </x:si>
  <x:si>
    <x:t xml:space="preserve">■</x:t>
  </x:si>
  <x:si>
    <x:t xml:space="preserve">요구사항</x:t>
  </x:si>
  <x:si>
    <x:t xml:space="preserve">환경</x:t>
  </x:si>
  <x:si>
    <x:t xml:space="preserve">Unity 프로젝트 및 개발 환경 준비</x:t>
  </x:si>
  <x:si>
    <x:t xml:space="preserve">Unity 기본 프로젝트</x:t>
  </x:si>
  <x:si>
    <x:t xml:space="preserve">클래스 설계</x:t>
  </x:si>
  <x:si>
    <x:t xml:space="preserve">분류</x:t>
  </x:si>
  <x:si>
    <x:t xml:space="preserve">클래스 분류표</x:t>
  </x:si>
  <x:si>
    <x:t xml:space="preserve">데이터</x:t>
  </x:si>
  <x:si>
    <x:t xml:space="preserve">데이터 클래스 설계</x:t>
  </x:si>
  <x:si>
    <x:t xml:space="preserve">기능</x:t>
  </x:si>
  <x:si>
    <x:t xml:space="preserve">기능 클래스 설계</x:t>
  </x:si>
  <x:si>
    <x:t xml:space="preserve">UI</x:t>
  </x:si>
  <x:si>
    <x:t xml:space="preserve">구현</x:t>
  </x:si>
  <x:si>
    <x:t xml:space="preserve">FR-01</x:t>
  </x:si>
  <x:si>
    <x:t xml:space="preserve">FR-02</x:t>
  </x:si>
  <x:si>
    <x:t xml:space="preserve">FR-03</x:t>
  </x:si>
  <x:si>
    <x:t xml:space="preserve">UI-03</x:t>
  </x:si>
  <x:si>
    <x:t xml:space="preserve">FR-09</x:t>
  </x:si>
  <x:si>
    <x:t xml:space="preserve">FR-04</x:t>
  </x:si>
  <x:si>
    <x:t xml:space="preserve">FR-05</x:t>
  </x:si>
  <x:si>
    <x:t xml:space="preserve">FR-06</x:t>
  </x:si>
  <x:si>
    <x:t xml:space="preserve">FR-10</x:t>
  </x:si>
  <x:si>
    <x:t xml:space="preserve">FR-11</x:t>
  </x:si>
  <x:si>
    <x:t xml:space="preserve">FR-12</x:t>
  </x:si>
  <x:si>
    <x:t xml:space="preserve">FR-13</x:t>
  </x:si>
  <x:si>
    <x:t xml:space="preserve">FR-14</x:t>
  </x:si>
  <x:si>
    <x:t xml:space="preserve">FR-10~14</x:t>
  </x:si>
  <x:si>
    <x:t xml:space="preserve">FR-15</x:t>
  </x:si>
  <x:si>
    <x:t xml:space="preserve">FR-16</x:t>
  </x:si>
  <x:si>
    <x:t xml:space="preserve">테스트/통합</x:t>
  </x:si>
  <x:si>
    <x:t xml:space="preserve">TC-01~09</x:t>
  </x:si>
  <x:si>
    <x:t xml:space="preserve">TC-10~16</x:t>
  </x:si>
  <x:si>
    <x:t xml:space="preserve">TC-17~26</x:t>
  </x:si>
  <x:si>
    <x:t xml:space="preserve">통합</x:t>
  </x:si>
  <x:si>
    <x:t xml:space="preserve">문서</x:t>
  </x:si>
  <x:si>
    <x:t xml:space="preserve">휴일</x:t>
  </x:si>
  <x:si>
    <x:t xml:space="preserve">제헌절</x:t>
  </x:si>
</x:sst>
</file>

<file path=xl/styles.xml><?xml version="1.0" encoding="utf-8"?>
<x:styleSheet xmlns:x="http://schemas.openxmlformats.org/spreadsheetml/2006/main">
  <x:numFmts count="8">
    <x:numFmt numFmtId="42" formatCode="_-&quot;₩&quot;* #,##0_-;\-&quot;₩&quot;* #,##0_-;_-&quot;₩&quot;* &quot;-&quot;_-;_-@_-"/>
    <x:numFmt numFmtId="41" formatCode="_-* #,##0_-;\-* #,##0_-;_-* &quot;-&quot;_-;_-@_-"/>
    <x:numFmt numFmtId="44" formatCode="_-&quot;₩&quot;* #,##0.00_-;\-&quot;₩&quot;* #,##0.00_-;_-&quot;₩&quot;* &quot;-&quot;??_-;_-@_-"/>
    <x:numFmt numFmtId="43" formatCode="_-* #,##0.00_-;\-* #,##0.00_-;_-* &quot;-&quot;??_-;_-@_-"/>
    <x:numFmt numFmtId="176" formatCode="yyyy\-mm\-dd"/>
    <x:numFmt numFmtId="177" formatCode="0.0%"/>
    <x:numFmt numFmtId="178" formatCode="d"/>
    <x:numFmt numFmtId="179" formatCode="yyyy&quot;. &quot;m&quot;. &quot;d"/>
  </x:numFmts>
  <x:fonts count="35">
    <x:font>
      <x:sz val="10"/>
      <x:color rgb="FF000000"/>
      <x:name val="Arial"/>
    </x:font>
    <x:font>
      <x:sz val="10"/>
      <x:name val="Arial"/>
      <x:family val="2"/>
    </x:font>
    <x:font>
      <x:b/>
      <x:sz val="28"/>
      <x:color rgb="FF262626"/>
      <x:name val="&quot;jtbc 고딕 extrabold&quot;"/>
      <x:family val="3"/>
    </x:font>
    <x:font>
      <x:b/>
      <x:sz val="11"/>
      <x:color rgb="FF434343"/>
      <x:name val="Hind"/>
      <x:family val="3"/>
    </x:font>
    <x:font>
      <x:sz val="11"/>
      <x:color rgb="FFD9D9D9"/>
      <x:name val="&quot;jtbc 고딕 regular&quot;"/>
      <x:family val="3"/>
    </x:font>
    <x:font>
      <x:sz val="12"/>
      <x:color rgb="FFD9D9D9"/>
      <x:name val="Arial"/>
      <x:family val="2"/>
    </x:font>
    <x:font>
      <x:sz val="10"/>
      <x:color rgb="FF262626"/>
      <x:name val="Arial"/>
      <x:family val="2"/>
    </x:font>
    <x:font>
      <x:b/>
      <x:sz val="12"/>
      <x:color rgb="FF0000FF"/>
      <x:name val="Arial"/>
      <x:family val="2"/>
    </x:font>
    <x:font>
      <x:sz val="9"/>
      <x:color rgb="FFFFFFFF"/>
      <x:name val="Arial"/>
      <x:family val="2"/>
    </x:font>
    <x:font>
      <x:sz val="11"/>
      <x:color theme="1"/>
      <x:name val="Arial"/>
      <x:family val="2"/>
    </x:font>
    <x:font>
      <x:b/>
      <x:sz val="11"/>
      <x:color theme="1"/>
      <x:name val="Noto Sans CJK SC"/>
    </x:font>
    <x:font>
      <x:sz val="11"/>
      <x:color theme="1"/>
      <x:name val="Noto Sans CJK SC"/>
    </x:font>
    <x:font>
      <x:sz val="10"/>
      <x:color rgb="FF000000"/>
      <x:name val="Arial"/>
      <x:family val="2"/>
    </x:font>
    <x:font>
      <x:b/>
      <x:sz val="30"/>
      <x:color rgb="FF262626"/>
      <x:name val="나눔고딕"/>
      <x:family val="3"/>
    </x:font>
    <x:font>
      <x:b/>
      <x:sz val="10"/>
      <x:color rgb="FF262626"/>
      <x:name val="나눔고딕"/>
      <x:family val="3"/>
    </x:font>
    <x:font>
      <x:b/>
      <x:sz val="11"/>
      <x:color rgb="FF262626"/>
      <x:name val="나눔고딕"/>
      <x:family val="3"/>
    </x:font>
    <x:font>
      <x:b/>
      <x:sz val="9"/>
      <x:color rgb="FF262626"/>
      <x:name val="나눔고딕"/>
      <x:family val="3"/>
    </x:font>
    <x:font>
      <x:b/>
      <x:sz val="11"/>
      <x:color rgb="FF0000FF"/>
      <x:name val="나눔고딕"/>
      <x:family val="3"/>
    </x:font>
    <x:font>
      <x:sz val="10"/>
      <x:color rgb="FF000000"/>
      <x:name val="나눔고딕"/>
      <x:family val="3"/>
    </x:font>
    <x:font>
      <x:b/>
      <x:sz val="11"/>
      <x:color rgb="FF434343"/>
      <x:name val="나눔고딕"/>
      <x:family val="3"/>
    </x:font>
    <x:font>
      <x:sz val="11"/>
      <x:color rgb="FF434343"/>
      <x:name val="나눔고딕"/>
      <x:family val="3"/>
    </x:font>
    <x:font>
      <x:sz val="11"/>
      <x:color rgb="FFFFFFFF"/>
      <x:name val="나눔고딕"/>
      <x:family val="3"/>
    </x:font>
    <x:font>
      <x:sz val="9"/>
      <x:color rgb="FF262626"/>
      <x:name val="나눔고딕"/>
      <x:family val="3"/>
    </x:font>
    <x:font>
      <x:sz val="11"/>
      <x:color rgb="FFD9D9D9"/>
      <x:name val="나눔고딕"/>
      <x:family val="3"/>
    </x:font>
    <x:font>
      <x:sz val="8"/>
      <x:color rgb="FF4A86E8"/>
      <x:name val="나눔고딕"/>
      <x:family val="3"/>
    </x:font>
    <x:font>
      <x:sz val="8"/>
      <x:color rgb="FF1F4E78"/>
      <x:name val="나눔고딕"/>
      <x:family val="3"/>
    </x:font>
    <x:font>
      <x:b/>
      <x:sz val="11"/>
      <x:color rgb="FFD9D9D9"/>
      <x:name val="나눔고딕"/>
      <x:family val="3"/>
    </x:font>
    <x:font>
      <x:sz val="11"/>
      <x:color rgb="FF262626"/>
      <x:name val="나눔고딕"/>
      <x:family val="3"/>
    </x:font>
    <x:font>
      <x:b/>
      <x:sz val="8"/>
      <x:color rgb="FF0000FF"/>
      <x:name val="나눔고딕"/>
      <x:family val="3"/>
    </x:font>
    <x:font>
      <x:b/>
      <x:sz val="8"/>
      <x:color rgb="FF4A86E8"/>
      <x:name val="나눔고딕"/>
      <x:family val="3"/>
    </x:font>
    <x:font>
      <x:b/>
      <x:sz val="11"/>
      <x:color rgb="FFFFFFFF"/>
      <x:name val="나눔고딕"/>
      <x:family val="3"/>
    </x:font>
    <x:font>
      <x:sz val="8"/>
      <x:name val="돋움"/>
      <x:family val="3"/>
    </x:font>
    <x:font>
      <x:b/>
      <x:sz val="11"/>
      <x:color rgb="FF000000"/>
      <x:name val="나눔고딕"/>
      <x:family val="3"/>
    </x:font>
    <x:font>
      <x:sz val="11"/>
      <x:name val="나눔고딕"/>
      <x:family val="3"/>
    </x:font>
    <x:font>
      <x:sz val="11"/>
      <x:color theme="1"/>
      <x:name val="나눔고딕"/>
      <x:family val="3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04040"/>
      </x:patternFill>
    </x:fill>
    <x:fill>
      <x:patternFill patternType="solid">
        <x:fgColor rgb="FF434343"/>
      </x:patternFill>
    </x:fill>
    <x:fill>
      <x:patternFill patternType="solid">
        <x:fgColor rgb="FF0000FF"/>
      </x:patternFill>
    </x:fill>
    <x:fill>
      <x:patternFill patternType="solid">
        <x:fgColor rgb="FF4A86E8"/>
      </x:patternFill>
    </x:fill>
    <x:fill>
      <x:patternFill patternType="solid">
        <x:fgColor rgb="FFEFEFEF"/>
      </x:patternFill>
    </x:fill>
    <x:fill>
      <x:patternFill patternType="solid">
        <x:fgColor rgb="FF999999"/>
      </x:patternFill>
    </x:fill>
    <x:fill>
      <x:patternFill patternType="solid">
        <x:fgColor rgb="FF00FFFF"/>
      </x:patternFill>
    </x:fill>
    <x:fill>
      <x:patternFill patternType="solid">
        <x:fgColor rgb="FFF3F3F3"/>
      </x:patternFill>
    </x:fill>
    <x:fill>
      <x:patternFill patternType="solid">
        <x:fgColor rgb="FFF8F8F8"/>
      </x:patternFill>
    </x:fill>
    <x:fill>
      <x:patternFill patternType="solid">
        <x:fgColor rgb="FF666666"/>
      </x:patternFill>
    </x:fill>
    <x:fill>
      <x:patternFill patternType="solid">
        <x:fgColor rgb="FFFFFF00"/>
      </x:patternFill>
    </x:fill>
    <x:fill>
      <x:patternFill patternType="solid">
        <x:fgColor rgb="FFE8F1FC"/>
      </x:patternFill>
    </x:fill>
    <x:fill>
      <x:patternFill patternType="solid">
        <x:fgColor rgb="FFFF0000"/>
      </x:patternFill>
    </x:fill>
  </x:fills>
  <x:borders count="8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auto="1"/>
      </x:left>
      <x:right style="thin">
        <x:color rgb="FF595959"/>
      </x:right>
      <x:top style="thin">
        <x:color auto="1"/>
      </x:top>
      <x:bottom/>
      <x:diagonal/>
    </x:border>
    <x:border>
      <x:left/>
      <x:right style="thin">
        <x:color rgb="FF595959"/>
      </x:right>
      <x:top style="thin">
        <x:color auto="1"/>
      </x:top>
      <x:bottom style="thin">
        <x:color auto="1"/>
      </x:bottom>
      <x:diagonal/>
    </x:border>
    <x:border>
      <x:left style="thin">
        <x:color rgb="FF595959"/>
      </x:left>
      <x:right style="thin">
        <x:color rgb="FF595959"/>
      </x:right>
      <x:top style="thin">
        <x:color auto="1"/>
      </x:top>
      <x:bottom style="thin">
        <x:color auto="1"/>
      </x:bottom>
      <x:diagonal/>
    </x:border>
    <x:border>
      <x:left style="thin">
        <x:color rgb="FF595959"/>
      </x:left>
      <x:right style="thin">
        <x:color rgb="FF595959"/>
      </x:right>
      <x:top style="thin">
        <x:color auto="1"/>
      </x:top>
      <x:bottom style="thin">
        <x:color rgb="FF595959"/>
      </x:bottom>
      <x:diagonal/>
    </x:border>
    <x:border>
      <x:left style="thin">
        <x:color rgb="FF595959"/>
      </x:left>
      <x:right/>
      <x:top style="thin">
        <x:color auto="1"/>
      </x:top>
      <x:bottom style="thin">
        <x:color rgb="FF595959"/>
      </x:bottom>
      <x:diagonal/>
    </x:border>
    <x:border>
      <x:left style="thin">
        <x:color rgb="FF595959"/>
      </x:left>
      <x:right style="thin">
        <x:color auto="1"/>
      </x:right>
      <x:top style="thin">
        <x:color auto="1"/>
      </x:top>
      <x:bottom style="thin">
        <x:color rgb="FF595959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595959"/>
      </x:left>
      <x:right style="thin">
        <x:color rgb="FF595959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rgb="FF595959"/>
      </x:right>
      <x:top/>
      <x:bottom style="thin">
        <x:color auto="1"/>
      </x:bottom>
      <x:diagonal/>
    </x:border>
    <x:border>
      <x:left style="thin">
        <x:color rgb="FF595959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 style="thin">
        <x:color rgb="FFD9D9D9"/>
      </x:right>
      <x:top style="thin">
        <x:color rgb="FFCCCCCC"/>
      </x:top>
      <x:bottom style="thin">
        <x:color auto="1"/>
      </x:bottom>
      <x:diagonal/>
    </x:border>
    <x:border>
      <x:left/>
      <x:right style="thin">
        <x:color rgb="FF999999"/>
      </x:right>
      <x:top/>
      <x:bottom/>
      <x:diagonal/>
    </x:border>
    <x:border>
      <x:left/>
      <x:right style="thin">
        <x:color rgb="FF999999"/>
      </x:right>
      <x:top/>
      <x:bottom style="thin">
        <x:color rgb="FFD9D9D9"/>
      </x:bottom>
      <x:diagonal/>
    </x:border>
    <x:border>
      <x:left style="thin">
        <x:color rgb="FF999999"/>
      </x:left>
      <x:right style="thin">
        <x:color rgb="FF999999"/>
      </x:right>
      <x:top/>
      <x:bottom style="thin">
        <x:color rgb="FFD9D9D9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999999"/>
      </x:left>
      <x:right/>
      <x:top/>
      <x:bottom style="thin">
        <x:color rgb="FFD9D9D9"/>
      </x:bottom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rgb="FF999999"/>
      </x:right>
      <x:top style="thin">
        <x:color rgb="FFD9D9D9"/>
      </x:top>
      <x:bottom style="thin">
        <x:color rgb="FFD9D9D9"/>
      </x:bottom>
      <x:diagonal/>
    </x:border>
    <x:border>
      <x:left/>
      <x:right/>
      <x:top/>
      <x:bottom style="thin">
        <x:color rgb="FF666666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rgb="FF999999"/>
      </x:right>
      <x:top/>
      <x:bottom style="thin">
        <x:color auto="1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D9D9D9"/>
      </x:top>
      <x:bottom style="thin">
        <x:color auto="1"/>
      </x:bottom>
      <x:diagonal/>
    </x:border>
    <x:border>
      <x:left style="thin">
        <x:color rgb="FF999999"/>
      </x:left>
      <x:right style="thin">
        <x:color rgb="FF999999"/>
      </x:right>
      <x:top/>
      <x:bottom style="thin">
        <x:color auto="1"/>
      </x:bottom>
      <x:diagonal/>
    </x:border>
    <x:border>
      <x:left style="thin">
        <x:color rgb="FF999999"/>
      </x:left>
      <x:right/>
      <x:top/>
      <x:bottom style="thin">
        <x:color auto="1"/>
      </x:bottom>
      <x:diagonal/>
    </x:border>
    <x:border>
      <x:left/>
      <x:right style="thin">
        <x:color rgb="FF999999"/>
      </x:right>
      <x:top style="thin">
        <x:color rgb="FFD9D9D9"/>
      </x:top>
      <x:bottom style="thin">
        <x:color auto="1"/>
      </x:bottom>
      <x:diagonal/>
    </x:border>
    <x:border>
      <x:left/>
      <x:right/>
      <x:top style="thin">
        <x:color rgb="FF666666"/>
      </x:top>
      <x:bottom/>
      <x:diagonal/>
    </x:border>
    <x:border>
      <x:left/>
      <x:right style="thin">
        <x:color rgb="FF999999"/>
      </x:right>
      <x:top style="thin">
        <x:color rgb="FFD9D9D9"/>
      </x:top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D9D9D9"/>
      </x:top>
      <x:bottom/>
      <x:diagonal/>
    </x:border>
    <x:border>
      <x:left style="thin">
        <x:color rgb="FF999999"/>
      </x:left>
      <x:right style="thin">
        <x:color rgb="FF999999"/>
      </x:right>
      <x:top/>
      <x:bottom/>
      <x:diagonal/>
    </x:border>
    <x:border>
      <x:left/>
      <x:right/>
      <x:top style="thin">
        <x:color rgb="FF595959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rgb="FFD9D9D9"/>
      </x:top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D9D9D9"/>
      </x:top>
      <x:bottom style="thin">
        <x:color rgb="FF999999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D9D9D9"/>
      </x:bottom>
      <x:diagonal/>
    </x:border>
    <x:border>
      <x:left style="thin">
        <x:color auto="1"/>
      </x:left>
      <x:right/>
      <x:top style="thin">
        <x:color rgb="FFD9D9D9"/>
      </x:top>
      <x:bottom style="thin">
        <x:color auto="1"/>
      </x:bottom>
      <x:diagonal/>
    </x:border>
    <x:border>
      <x:left style="thin">
        <x:color auto="1"/>
      </x:left>
      <x:right/>
      <x:top style="thin">
        <x:color rgb="FFD9D9D9"/>
      </x:top>
      <x:bottom style="thin">
        <x:color rgb="FFD9D9D9"/>
      </x:bottom>
      <x:diagonal/>
    </x:border>
    <x:border>
      <x:left style="thin">
        <x:color auto="1"/>
      </x:left>
      <x:right/>
      <x:top style="thin">
        <x:color auto="1"/>
      </x:top>
      <x:bottom style="thin">
        <x:color rgb="FFD9D9D9"/>
      </x:bottom>
      <x:diagonal/>
    </x:border>
    <x:border>
      <x:left/>
      <x:right style="thin">
        <x:color rgb="FF999999"/>
      </x:right>
      <x:top style="thin">
        <x:color auto="1"/>
      </x:top>
      <x:bottom style="thin">
        <x:color rgb="FFD9D9D9"/>
      </x:bottom>
      <x:diagonal/>
    </x:border>
    <x:border>
      <x:left style="thin">
        <x:color rgb="FF666666"/>
      </x:left>
      <x:right style="thin">
        <x:color rgb="FF666666"/>
      </x:right>
      <x:top/>
      <x:bottom style="thin">
        <x:color rgb="FF666666"/>
      </x:bottom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auto="1"/>
      </x:bottom>
      <x:diagonal/>
    </x:border>
    <x:border>
      <x:left/>
      <x:right style="thin">
        <x:color theme="0" tint="-0.14997"/>
      </x:right>
      <x:top style="thin">
        <x:color auto="1"/>
      </x:top>
      <x:bottom style="thin">
        <x:color theme="0" tint="-0.14997"/>
      </x:bottom>
      <x:diagonal/>
    </x:border>
    <x:border>
      <x:left style="thin">
        <x:color theme="0" tint="-0.14997"/>
      </x:left>
      <x:right style="thin">
        <x:color theme="0" tint="-0.14997"/>
      </x:right>
      <x:top style="thin">
        <x:color auto="1"/>
      </x:top>
      <x:bottom style="thin">
        <x:color theme="0" tint="-0.14997"/>
      </x:bottom>
      <x:diagonal/>
    </x:border>
    <x:border>
      <x:left/>
      <x:right style="thin">
        <x:color theme="0" tint="-0.14997"/>
      </x:right>
      <x:top style="thin">
        <x:color theme="0" tint="-0.14997"/>
      </x:top>
      <x:bottom style="thin">
        <x:color theme="0" tint="-0.14997"/>
      </x:bottom>
      <x:diagonal/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  <x:diagonal/>
    </x:border>
    <x:border>
      <x:left style="thin">
        <x:color theme="0" tint="-0.14997"/>
      </x:left>
      <x:right/>
      <x:top style="thin">
        <x:color auto="1"/>
      </x:top>
      <x:bottom style="thin">
        <x:color theme="0" tint="-0.14997"/>
      </x:bottom>
      <x:diagonal/>
    </x:border>
    <x:border>
      <x:left style="thin">
        <x:color theme="0" tint="-0.14997"/>
      </x:left>
      <x:right/>
      <x:top style="thin">
        <x:color theme="0" tint="-0.14997"/>
      </x:top>
      <x:bottom style="thin">
        <x:color theme="0" tint="-0.14997"/>
      </x:bottom>
      <x:diagonal/>
    </x:border>
    <x:border>
      <x:left style="thin">
        <x:color auto="1"/>
      </x:left>
      <x:right style="thin">
        <x:color theme="0" tint="-0.14997"/>
      </x:right>
      <x:top style="thin">
        <x:color auto="1"/>
      </x:top>
      <x:bottom style="thin">
        <x:color theme="0" tint="-0.14997"/>
      </x:bottom>
      <x:diagonal/>
    </x:border>
    <x:border>
      <x:left style="thin">
        <x:color theme="0" tint="-0.14997"/>
      </x:left>
      <x:right style="thin">
        <x:color auto="1"/>
      </x:right>
      <x:top style="thin">
        <x:color auto="1"/>
      </x:top>
      <x:bottom style="thin">
        <x:color theme="0" tint="-0.14997"/>
      </x:bottom>
      <x:diagonal/>
    </x:border>
    <x:border>
      <x:left style="thin">
        <x:color auto="1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  <x:diagonal/>
    </x:border>
    <x:border>
      <x:left style="thin">
        <x:color theme="0" tint="-0.14997"/>
      </x:left>
      <x:right style="thin">
        <x:color auto="1"/>
      </x:right>
      <x:top style="thin">
        <x:color theme="0" tint="-0.14997"/>
      </x:top>
      <x:bottom style="thin">
        <x:color theme="0" tint="-0.14997"/>
      </x:bottom>
      <x:diagonal/>
    </x:border>
    <x:border>
      <x:left style="thin">
        <x:color rgb="FF666666"/>
      </x:left>
      <x:right/>
      <x:top style="thin">
        <x:color rgb="FF666666"/>
      </x:top>
      <x:bottom style="thin">
        <x:color rgb="FF666666"/>
      </x:bottom>
      <x:diagonal/>
    </x:border>
    <x:border>
      <x:left style="thin">
        <x:color rgb="FF666666"/>
      </x:left>
      <x:right/>
      <x:top style="thin">
        <x:color rgb="FF666666"/>
      </x:top>
      <x:bottom style="thin">
        <x:color auto="1"/>
      </x:bottom>
      <x:diagonal/>
    </x:border>
    <x:border>
      <x:left style="thin">
        <x:color rgb="FF666666"/>
      </x:left>
      <x:right/>
      <x:top/>
      <x:bottom style="thin">
        <x:color rgb="FF666666"/>
      </x:bottom>
      <x:diagonal/>
    </x:border>
    <x:border>
      <x:left style="thin">
        <x:color auto="1"/>
      </x:left>
      <x:right style="thin">
        <x:color theme="0" tint="-0.14997"/>
      </x:right>
      <x:top style="thin">
        <x:color theme="0" tint="-0.14997"/>
      </x:top>
      <x:bottom style="thin">
        <x:color auto="1"/>
      </x:bottom>
      <x:diagonal/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auto="1"/>
      </x:bottom>
      <x:diagonal/>
    </x:border>
    <x:border>
      <x:left style="thin">
        <x:color theme="0" tint="-0.14997"/>
      </x:left>
      <x:right/>
      <x:top style="thin">
        <x:color theme="0" tint="-0.14997"/>
      </x:top>
      <x:bottom style="thin">
        <x:color auto="1"/>
      </x:bottom>
      <x:diagonal/>
    </x:border>
    <x:border>
      <x:left style="thin">
        <x:color theme="0" tint="-0.14997"/>
      </x:left>
      <x:right style="thin">
        <x:color auto="1"/>
      </x:right>
      <x:top style="thin">
        <x:color theme="0" tint="-0.14997"/>
      </x:top>
      <x:bottom style="thin">
        <x:color auto="1"/>
      </x:bottom>
      <x:diagonal/>
    </x:border>
    <x:border>
      <x:left/>
      <x:right style="thin">
        <x:color theme="0" tint="-0.14997"/>
      </x:right>
      <x:top style="thin">
        <x:color theme="0" tint="-0.14997"/>
      </x:top>
      <x:bottom style="thin">
        <x:color auto="1"/>
      </x:bottom>
      <x:diagonal/>
    </x:border>
    <x:border>
      <x:left style="thin">
        <x:color auto="1"/>
      </x:left>
      <x:right style="thin">
        <x:color theme="0" tint="-0.14997"/>
      </x:right>
      <x:top/>
      <x:bottom style="thin">
        <x:color theme="0" tint="-0.14997"/>
      </x:bottom>
      <x:diagonal/>
    </x:border>
    <x:border>
      <x:left style="thin">
        <x:color theme="0" tint="-0.14997"/>
      </x:left>
      <x:right style="thin">
        <x:color theme="0" tint="-0.14997"/>
      </x:right>
      <x:top/>
      <x:bottom style="thin">
        <x:color theme="0" tint="-0.14997"/>
      </x:bottom>
      <x:diagonal/>
    </x:border>
    <x:border>
      <x:left style="thin">
        <x:color theme="0" tint="-0.14997"/>
      </x:left>
      <x:right/>
      <x:top/>
      <x:bottom style="thin">
        <x:color theme="0" tint="-0.14997"/>
      </x:bottom>
      <x:diagonal/>
    </x:border>
    <x:border>
      <x:left style="thin">
        <x:color theme="0" tint="-0.14997"/>
      </x:left>
      <x:right style="thin">
        <x:color auto="1"/>
      </x:right>
      <x:top/>
      <x:bottom style="thin">
        <x:color theme="0" tint="-0.14997"/>
      </x:bottom>
      <x:diagonal/>
    </x:border>
    <x:border>
      <x:left/>
      <x:right style="thin">
        <x:color theme="0" tint="-0.14997"/>
      </x:right>
      <x:top/>
      <x:bottom style="thin">
        <x:color theme="0" tint="-0.14997"/>
      </x:bottom>
      <x:diagonal/>
    </x:border>
    <x:border>
      <x:left style="thin">
        <x:color auto="1"/>
      </x:left>
      <x:right style="thin">
        <x:color theme="0" tint="-0.14997"/>
      </x:right>
      <x:top style="thin">
        <x:color theme="0" tint="-0.14997"/>
      </x:top>
      <x:bottom/>
      <x:diagonal/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/>
      <x:diagonal/>
    </x:border>
    <x:border>
      <x:left style="thin">
        <x:color theme="0" tint="-0.14997"/>
      </x:left>
      <x:right/>
      <x:top style="thin">
        <x:color theme="0" tint="-0.14997"/>
      </x:top>
      <x:bottom/>
      <x:diagonal/>
    </x:border>
    <x:border>
      <x:left style="thin">
        <x:color theme="0" tint="-0.14997"/>
      </x:left>
      <x:right style="thin">
        <x:color auto="1"/>
      </x:right>
      <x:top style="thin">
        <x:color theme="0" tint="-0.14997"/>
      </x:top>
      <x:bottom/>
      <x:diagonal/>
    </x:border>
    <x:border>
      <x:left/>
      <x:right style="thin">
        <x:color theme="0" tint="-0.14997"/>
      </x:right>
      <x:top style="thin">
        <x:color theme="0" tint="-0.14997"/>
      </x:top>
      <x:bottom/>
      <x:diagonal/>
    </x:border>
    <x:border>
      <x:left style="thin">
        <x:color auto="1"/>
      </x:left>
      <x:right style="thin">
        <x:color rgb="FF999999"/>
      </x:right>
      <x:top/>
      <x:bottom style="thin">
        <x:color rgb="FFD9D9D9"/>
      </x:bottom>
      <x:diagonal/>
    </x:border>
    <x:border>
      <x:left style="thin">
        <x:color auto="1"/>
      </x:left>
      <x:right style="thin">
        <x:color rgb="FF999999"/>
      </x:right>
      <x:top style="thin">
        <x:color rgb="FFD9D9D9"/>
      </x:top>
      <x:bottom/>
      <x:diagonal/>
    </x:border>
    <x:border>
      <x:left style="thin">
        <x:color auto="1"/>
      </x:left>
      <x:right style="thin">
        <x:color rgb="FF999999"/>
      </x:right>
      <x:top style="thin">
        <x:color rgb="FFD9D9D9"/>
      </x:top>
      <x:bottom style="thin">
        <x:color theme="0" tint="-0.14997"/>
      </x:bottom>
      <x:diagonal/>
    </x:border>
    <x:border>
      <x:left/>
      <x:right style="thin">
        <x:color rgb="FF999999"/>
      </x:right>
      <x:top style="thin">
        <x:color rgb="FFD9D9D9"/>
      </x:top>
      <x:bottom style="thin">
        <x:color theme="0" tint="-0.14997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D9D9D9"/>
      </x:top>
      <x:bottom style="thin">
        <x:color theme="0" tint="-0.14997"/>
      </x:bottom>
      <x:diagonal/>
    </x:border>
    <x:border>
      <x:left style="thin">
        <x:color rgb="FF999999"/>
      </x:left>
      <x:right style="thin">
        <x:color rgb="FF999999"/>
      </x:right>
      <x:top/>
      <x:bottom style="thin">
        <x:color theme="0" tint="-0.14997"/>
      </x:bottom>
      <x:diagonal/>
    </x:border>
    <x:border>
      <x:left/>
      <x:right style="thin">
        <x:color rgb="FF999999"/>
      </x:right>
      <x:top/>
      <x:bottom style="thin">
        <x:color theme="0" tint="-0.14997"/>
      </x:bottom>
      <x:diagonal/>
    </x:border>
    <x:border>
      <x:left style="thin">
        <x:color auto="1"/>
      </x:left>
      <x:right/>
      <x:top/>
      <x:bottom style="thin">
        <x:color rgb="FFD9D9D9"/>
      </x:bottom>
      <x:diagonal/>
    </x:border>
  </x:borders>
  <x:cellStyleXfs count="7">
    <x:xf numFmtId="0" fontId="0" fillId="0" borderId="0"/>
    <x:xf numFmtId="43" fontId="1" fillId="0" borderId="0" applyBorder="0" applyAlignment="0" applyProtection="0"/>
    <x:xf numFmtId="41" fontId="1" fillId="0" borderId="0" applyBorder="0" applyAlignment="0" applyProtection="0"/>
    <x:xf numFmtId="44" fontId="1" fillId="0" borderId="0" applyBorder="0" applyAlignment="0" applyProtection="0"/>
    <x:xf numFmtId="42" fontId="1" fillId="0" borderId="0" applyBorder="0" applyAlignment="0" applyProtection="0"/>
    <x:xf numFmtId="9" fontId="1" fillId="0" borderId="0" applyBorder="0" applyAlignment="0" applyProtection="0"/>
    <x:xf numFmtId="0" fontId="12" fillId="0" borderId="0"/>
  </x:cellStyleXfs>
  <x:cellXfs count="213">
    <x:xf numFmtId="0" fontId="0" fillId="0" borderId="0" xfId="0"/>
    <x:xf numFmtId="0" fontId="4" fillId="0" borderId="0" xfId="6" applyFont="1" applyAlignment="1">
      <x:alignment horizontal="center" vertical="center"/>
    </x:xf>
    <x:xf numFmtId="0" fontId="5" fillId="0" borderId="0" xfId="6" applyFont="1" applyAlignment="1">
      <x:alignment horizontal="center" vertical="center"/>
    </x:xf>
    <x:xf numFmtId="0" fontId="7" fillId="0" borderId="0" xfId="6" applyFont="1" applyAlignment="1">
      <x:alignment horizontal="center" vertical="center"/>
    </x:xf>
    <x:xf numFmtId="0" fontId="6" fillId="11" borderId="0" xfId="6" applyFont="1" applyFill="1" applyAlignment="1">
      <x:alignment horizontal="left" vertical="center"/>
    </x:xf>
    <x:xf numFmtId="0" fontId="6" fillId="11" borderId="34" xfId="6" applyFont="1" applyFill="1" applyBorder="1" applyAlignment="1">
      <x:alignment horizontal="left" vertical="center"/>
    </x:xf>
    <x:xf numFmtId="0" fontId="8" fillId="0" borderId="0" xfId="6" applyFont="1" applyAlignment="1">
      <x:alignment horizontal="left" vertical="center"/>
    </x:xf>
    <x:xf numFmtId="0" fontId="9" fillId="0" borderId="0" xfId="6" applyFont="1"/>
    <x:xf numFmtId="0" fontId="10" fillId="13" borderId="0" xfId="6" applyFont="1" applyFill="1" applyAlignment="1">
      <x:alignment horizontal="center"/>
    </x:xf>
    <x:xf numFmtId="179" fontId="9" fillId="13" borderId="0" xfId="6" applyNumberFormat="1" applyFont="1" applyFill="1" applyAlignment="1">
      <x:alignment horizontal="center"/>
    </x:xf>
    <x:xf numFmtId="0" fontId="11" fillId="0" borderId="0" xfId="6" applyFont="1"/>
    <x:xf numFmtId="0" fontId="2" fillId="0" borderId="0" xfId="6" applyFont="1" applyAlignment="1">
      <x:alignment horizontal="left" vertical="center"/>
    </x:xf>
    <x:xf numFmtId="0" fontId="3" fillId="0" borderId="1" xfId="6" applyFont="1" applyBorder="1" applyAlignment="1">
      <x:alignment horizontal="left" vertical="center"/>
    </x:xf>
    <x:xf numFmtId="0" fontId="13" fillId="2" borderId="0" xfId="6" applyFont="1" applyFill="1" applyAlignment="1">
      <x:alignment horizontal="left" vertical="center"/>
    </x:xf>
    <x:xf numFmtId="0" fontId="14" fillId="2" borderId="0" xfId="6" applyFont="1" applyFill="1" applyAlignment="1">
      <x:alignment horizontal="right" vertical="center"/>
    </x:xf>
    <x:xf numFmtId="0" fontId="15" fillId="2" borderId="0" xfId="6" applyFont="1" applyFill="1" applyAlignment="1">
      <x:alignment horizontal="right" vertical="center"/>
    </x:xf>
    <x:xf numFmtId="176" fontId="15" fillId="0" borderId="0" xfId="6" applyNumberFormat="1" applyFont="1" applyAlignment="1">
      <x:alignment horizontal="center" vertical="center"/>
    </x:xf>
    <x:xf numFmtId="0" fontId="16" fillId="2" borderId="0" xfId="6" applyFont="1" applyFill="1" applyAlignment="1">
      <x:alignment horizontal="right" vertical="center"/>
    </x:xf>
    <x:xf numFmtId="0" fontId="17" fillId="2" borderId="0" xfId="6" applyFont="1" applyFill="1" applyAlignment="1">
      <x:alignment horizontal="right" vertical="center"/>
    </x:xf>
    <x:xf numFmtId="177" fontId="15" fillId="2" borderId="0" xfId="6" applyNumberFormat="1" applyFont="1" applyFill="1" applyAlignment="1">
      <x:alignment horizontal="right" vertical="center"/>
    </x:xf>
    <x:xf numFmtId="177" fontId="17" fillId="2" borderId="0" xfId="6" applyNumberFormat="1" applyFont="1" applyFill="1" applyAlignment="1">
      <x:alignment horizontal="left" vertical="center"/>
    </x:xf>
    <x:xf numFmtId="0" fontId="18" fillId="0" borderId="0" xfId="6" applyFont="1" applyAlignment="1">
      <x:alignment vertical="center"/>
    </x:xf>
    <x:xf numFmtId="0" fontId="19" fillId="0" borderId="2" xfId="6" applyFont="1" applyBorder="1" applyAlignment="1">
      <x:alignment horizontal="left" vertical="center"/>
    </x:xf>
    <x:xf numFmtId="0" fontId="20" fillId="2" borderId="2" xfId="6" applyFont="1" applyFill="1" applyBorder="1" applyAlignment="1">
      <x:alignment vertical="center"/>
    </x:xf>
    <x:xf numFmtId="0" fontId="20" fillId="2" borderId="2" xfId="6" applyFont="1" applyFill="1" applyBorder="1" applyAlignment="1">
      <x:alignment horizontal="center" vertical="center"/>
    </x:xf>
    <x:xf numFmtId="0" fontId="20" fillId="2" borderId="3" xfId="6" applyFont="1" applyFill="1" applyBorder="1" applyAlignment="1">
      <x:alignment horizontal="center" vertical="center"/>
    </x:xf>
    <x:xf numFmtId="0" fontId="20" fillId="2" borderId="3" xfId="6" applyFont="1" applyFill="1" applyBorder="1" applyAlignment="1">
      <x:alignment vertical="center"/>
    </x:xf>
    <x:xf numFmtId="0" fontId="20" fillId="2" borderId="0" xfId="6" applyFont="1" applyFill="1" applyAlignment="1">
      <x:alignment vertical="center"/>
    </x:xf>
    <x:xf numFmtId="178" fontId="22" fillId="10" borderId="17" xfId="6" applyNumberFormat="1" applyFont="1" applyFill="1" applyBorder="1" applyAlignment="1">
      <x:alignment horizontal="center" vertical="center"/>
    </x:xf>
    <x:xf numFmtId="0" fontId="23" fillId="4" borderId="0" xfId="6" applyFont="1" applyFill="1" applyAlignment="1">
      <x:alignment horizontal="center" vertical="center"/>
    </x:xf>
    <x:xf numFmtId="0" fontId="26" fillId="4" borderId="0" xfId="6" applyFont="1" applyFill="1" applyAlignment="1">
      <x:alignment horizontal="center" vertical="center"/>
    </x:xf>
    <x:xf numFmtId="0" fontId="26" fillId="4" borderId="26" xfId="6" applyFont="1" applyFill="1" applyBorder="1" applyAlignment="1">
      <x:alignment horizontal="center" vertical="center"/>
    </x:xf>
    <x:xf numFmtId="0" fontId="26" fillId="4" borderId="33" xfId="6" applyFont="1" applyFill="1" applyBorder="1" applyAlignment="1">
      <x:alignment horizontal="center" vertical="center"/>
    </x:xf>
    <x:xf numFmtId="0" fontId="26" fillId="4" borderId="13" xfId="6" applyFont="1" applyFill="1" applyBorder="1" applyAlignment="1">
      <x:alignment horizontal="center" vertical="center"/>
    </x:xf>
    <x:xf numFmtId="176" fontId="27" fillId="0" borderId="20" xfId="6" applyNumberFormat="1" applyFont="1" applyBorder="1" applyAlignment="1">
      <x:alignment horizontal="center" vertical="center"/>
    </x:xf>
    <x:xf numFmtId="176" fontId="27" fillId="0" borderId="19" xfId="6" applyNumberFormat="1" applyFont="1" applyBorder="1" applyAlignment="1">
      <x:alignment horizontal="center" vertical="center"/>
    </x:xf>
    <x:xf numFmtId="176" fontId="27" fillId="0" borderId="30" xfId="6" applyNumberFormat="1" applyFont="1" applyBorder="1" applyAlignment="1">
      <x:alignment horizontal="center" vertical="center"/>
    </x:xf>
    <x:xf numFmtId="176" fontId="27" fillId="0" borderId="28" xfId="6" applyNumberFormat="1" applyFont="1" applyBorder="1" applyAlignment="1">
      <x:alignment horizontal="center" vertical="center"/>
    </x:xf>
    <x:xf numFmtId="176" fontId="27" fillId="0" borderId="18" xfId="6" applyNumberFormat="1" applyFont="1" applyBorder="1" applyAlignment="1">
      <x:alignment horizontal="center" vertical="center"/>
    </x:xf>
    <x:xf numFmtId="176" fontId="27" fillId="0" borderId="29" xfId="6" applyNumberFormat="1" applyFont="1" applyBorder="1" applyAlignment="1">
      <x:alignment horizontal="center" vertical="center"/>
    </x:xf>
    <x:xf numFmtId="0" fontId="23" fillId="4" borderId="13" xfId="6" applyFont="1" applyFill="1" applyBorder="1" applyAlignment="1">
      <x:alignment horizontal="center" vertical="center"/>
    </x:xf>
    <x:xf numFmtId="0" fontId="21" fillId="12" borderId="39" xfId="6" applyFont="1" applyFill="1" applyBorder="1" applyAlignment="1">
      <x:alignment horizontal="center" vertical="center"/>
    </x:xf>
    <x:xf numFmtId="0" fontId="30" fillId="12" borderId="39" xfId="6" applyFont="1" applyFill="1" applyBorder="1" applyAlignment="1">
      <x:alignment horizontal="center" vertical="center"/>
    </x:xf>
    <x:xf numFmtId="0" fontId="30" fillId="12" borderId="38" xfId="6" applyFont="1" applyFill="1" applyBorder="1" applyAlignment="1">
      <x:alignment horizontal="center" vertical="center"/>
    </x:xf>
    <x:xf numFmtId="0" fontId="30" fillId="12" borderId="10" xfId="6" applyFont="1" applyFill="1" applyBorder="1" applyAlignment="1">
      <x:alignment horizontal="center" vertical="center"/>
    </x:xf>
    <x:xf numFmtId="9" fontId="30" fillId="12" borderId="40" xfId="6" applyNumberFormat="1" applyFont="1" applyFill="1" applyBorder="1" applyAlignment="1">
      <x:alignment horizontal="center" vertical="center"/>
    </x:xf>
    <x:xf numFmtId="9" fontId="30" fillId="12" borderId="27" xfId="6" applyNumberFormat="1" applyFont="1" applyFill="1" applyBorder="1" applyAlignment="1">
      <x:alignment horizontal="center" vertical="center"/>
    </x:xf>
    <x:xf numFmtId="0" fontId="13" fillId="2" borderId="0" xfId="6" applyFont="1" applyFill="1" applyAlignment="1">
      <x:alignment horizontal="center" vertical="center"/>
    </x:xf>
    <x:xf numFmtId="0" fontId="19" fillId="0" borderId="2" xfId="6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30" fillId="6" borderId="10" xfId="6" applyFont="1" applyFill="1" applyBorder="1" applyAlignment="1">
      <x:alignment horizontal="center" vertical="center"/>
    </x:xf>
    <x:xf numFmtId="0" fontId="30" fillId="3" borderId="12" xfId="6" applyFont="1" applyFill="1" applyBorder="1" applyAlignment="1">
      <x:alignment horizontal="center" vertical="center"/>
    </x:xf>
    <x:xf numFmtId="0" fontId="32" fillId="7" borderId="13" xfId="6" applyFont="1" applyFill="1" applyBorder="1" applyAlignment="1">
      <x:alignment horizontal="center" vertical="center"/>
    </x:xf>
    <x:xf numFmtId="176" fontId="17" fillId="9" borderId="11" xfId="6" applyNumberFormat="1" applyFont="1" applyFill="1" applyBorder="1" applyAlignment="1">
      <x:alignment horizontal="center" vertical="center"/>
    </x:xf>
    <x:xf numFmtId="0" fontId="17" fillId="9" borderId="11" xfId="6" applyFont="1" applyFill="1" applyBorder="1" applyAlignment="1">
      <x:alignment horizontal="center" vertical="center"/>
    </x:xf>
    <x:xf numFmtId="9" fontId="17" fillId="9" borderId="15" xfId="6" applyNumberFormat="1" applyFont="1" applyFill="1" applyBorder="1" applyAlignment="1">
      <x:alignment horizontal="center" vertical="center"/>
    </x:xf>
    <x:xf numFmtId="9" fontId="17" fillId="9" borderId="16" xfId="6" applyNumberFormat="1" applyFont="1" applyFill="1" applyBorder="1" applyAlignment="1">
      <x:alignment horizontal="center" vertical="center"/>
    </x:xf>
    <x:xf numFmtId="177" fontId="17" fillId="10" borderId="16" xfId="6" applyNumberFormat="1" applyFont="1" applyFill="1" applyBorder="1" applyAlignment="1">
      <x:alignment horizontal="center" vertical="center"/>
    </x:xf>
    <x:xf numFmtId="0" fontId="15" fillId="11" borderId="0" xfId="6" applyFont="1" applyFill="1" applyAlignment="1">
      <x:alignment horizontal="center" vertical="center" wrapText="1"/>
    </x:xf>
    <x:xf numFmtId="0" fontId="27" fillId="0" borderId="19" xfId="6" applyFont="1" applyBorder="1" applyAlignment="1">
      <x:alignment horizontal="center" vertical="center"/>
    </x:xf>
    <x:xf numFmtId="0" fontId="27" fillId="0" borderId="20" xfId="6" applyFont="1" applyBorder="1" applyAlignment="1">
      <x:alignment horizontal="center" vertical="center"/>
    </x:xf>
    <x:xf numFmtId="176" fontId="27" fillId="0" borderId="20" xfId="6" applyNumberFormat="1" applyFont="1" applyBorder="1" applyAlignment="1">
      <x:alignment horizontal="center" vertical="center" wrapText="1"/>
    </x:xf>
    <x:xf numFmtId="0" fontId="27" fillId="0" borderId="21" xfId="6" applyFont="1" applyBorder="1" applyAlignment="1">
      <x:alignment horizontal="center" vertical="center"/>
    </x:xf>
    <x:xf numFmtId="0" fontId="17" fillId="10" borderId="20" xfId="6" applyFont="1" applyFill="1" applyBorder="1" applyAlignment="1">
      <x:alignment horizontal="center" vertical="center"/>
    </x:xf>
    <x:xf numFmtId="0" fontId="17" fillId="10" borderId="22" xfId="6" applyFont="1" applyFill="1" applyBorder="1" applyAlignment="1">
      <x:alignment horizontal="center" vertical="center"/>
    </x:xf>
    <x:xf numFmtId="9" fontId="20" fillId="11" borderId="23" xfId="6" applyNumberFormat="1" applyFont="1" applyFill="1" applyBorder="1" applyAlignment="1">
      <x:alignment horizontal="center" vertical="center"/>
    </x:xf>
    <x:xf numFmtId="9" fontId="17" fillId="11" borderId="23" xfId="6" applyNumberFormat="1" applyFont="1" applyFill="1" applyBorder="1" applyAlignment="1">
      <x:alignment horizontal="center" vertical="center"/>
    </x:xf>
    <x:xf numFmtId="9" fontId="19" fillId="11" borderId="23" xfId="6" applyNumberFormat="1" applyFont="1" applyFill="1" applyBorder="1" applyAlignment="1">
      <x:alignment horizontal="center" vertical="center"/>
    </x:xf>
    <x:xf numFmtId="177" fontId="17" fillId="10" borderId="24" xfId="6" applyNumberFormat="1" applyFont="1" applyFill="1" applyBorder="1" applyAlignment="1">
      <x:alignment horizontal="center" vertical="center"/>
    </x:xf>
    <x:xf numFmtId="176" fontId="27" fillId="0" borderId="21" xfId="6" applyNumberFormat="1" applyFont="1" applyBorder="1" applyAlignment="1">
      <x:alignment horizontal="center" vertical="center" wrapText="1"/>
    </x:xf>
    <x:xf numFmtId="176" fontId="27" fillId="0" borderId="21" xfId="6" applyNumberFormat="1" applyFont="1" applyBorder="1" applyAlignment="1">
      <x:alignment horizontal="center" vertical="center"/>
    </x:xf>
    <x:xf numFmtId="177" fontId="17" fillId="10" borderId="27" xfId="6" applyNumberFormat="1" applyFont="1" applyFill="1" applyBorder="1" applyAlignment="1">
      <x:alignment horizontal="center" vertical="center"/>
    </x:xf>
    <x:xf numFmtId="0" fontId="15" fillId="11" borderId="13" xfId="6" applyFont="1" applyFill="1" applyBorder="1" applyAlignment="1">
      <x:alignment horizontal="center" vertical="center" wrapText="1"/>
    </x:xf>
    <x:xf numFmtId="0" fontId="27" fillId="0" borderId="28" xfId="6" applyFont="1" applyBorder="1" applyAlignment="1">
      <x:alignment horizontal="center" vertical="center"/>
    </x:xf>
    <x:xf numFmtId="0" fontId="27" fillId="0" borderId="29" xfId="6" applyFont="1" applyBorder="1" applyAlignment="1">
      <x:alignment horizontal="center" vertical="center"/>
    </x:xf>
    <x:xf numFmtId="176" fontId="27" fillId="0" borderId="29" xfId="6" applyNumberFormat="1" applyFont="1" applyBorder="1" applyAlignment="1">
      <x:alignment horizontal="center" vertical="center" wrapText="1"/>
    </x:xf>
    <x:xf numFmtId="0" fontId="17" fillId="10" borderId="30" xfId="6" applyFont="1" applyFill="1" applyBorder="1" applyAlignment="1">
      <x:alignment horizontal="center" vertical="center"/>
    </x:xf>
    <x:xf numFmtId="0" fontId="27" fillId="0" borderId="30" xfId="6" applyFont="1" applyBorder="1" applyAlignment="1">
      <x:alignment horizontal="center" vertical="center"/>
    </x:xf>
    <x:xf numFmtId="0" fontId="17" fillId="10" borderId="31" xfId="6" applyFont="1" applyFill="1" applyBorder="1" applyAlignment="1">
      <x:alignment horizontal="center" vertical="center"/>
    </x:xf>
    <x:xf numFmtId="177" fontId="17" fillId="7" borderId="16" xfId="6" applyNumberFormat="1" applyFont="1" applyFill="1" applyBorder="1" applyAlignment="1">
      <x:alignment horizontal="center" vertical="center"/>
    </x:xf>
    <x:xf numFmtId="0" fontId="27" fillId="0" borderId="20" xfId="6" applyFont="1" applyBorder="1" applyAlignment="1">
      <x:alignment horizontal="center" vertical="center" wrapText="1"/>
    </x:xf>
    <x:xf numFmtId="177" fontId="17" fillId="7" borderId="24" xfId="6" applyNumberFormat="1" applyFont="1" applyFill="1" applyBorder="1" applyAlignment="1">
      <x:alignment horizontal="center" vertical="center"/>
    </x:xf>
    <x:xf numFmtId="0" fontId="27" fillId="0" borderId="25" xfId="6" applyFont="1" applyBorder="1" applyAlignment="1">
      <x:alignment horizontal="center" vertical="center"/>
    </x:xf>
    <x:xf numFmtId="0" fontId="27" fillId="0" borderId="21" xfId="6" applyFont="1" applyBorder="1" applyAlignment="1">
      <x:alignment horizontal="center" vertical="center" wrapText="1"/>
    </x:xf>
    <x:xf numFmtId="177" fontId="17" fillId="7" borderId="27" xfId="6" applyNumberFormat="1" applyFont="1" applyFill="1" applyBorder="1" applyAlignment="1">
      <x:alignment horizontal="center" vertical="center"/>
    </x:xf>
    <x:xf numFmtId="0" fontId="27" fillId="0" borderId="32" xfId="6" applyFont="1" applyBorder="1" applyAlignment="1">
      <x:alignment horizontal="center" vertical="center"/>
    </x:xf>
    <x:xf numFmtId="0" fontId="27" fillId="0" borderId="29" xfId="6" applyFont="1" applyBorder="1" applyAlignment="1">
      <x:alignment horizontal="center" vertical="center" wrapText="1"/>
    </x:xf>
    <x:xf numFmtId="0" fontId="27" fillId="11" borderId="34" xfId="6" applyFont="1" applyFill="1" applyBorder="1" applyAlignment="1">
      <x:alignment horizontal="center" vertical="center"/>
    </x:xf>
    <x:xf numFmtId="0" fontId="27" fillId="0" borderId="34" xfId="6" applyFont="1" applyBorder="1" applyAlignment="1">
      <x:alignment horizontal="center" vertical="center"/>
    </x:xf>
    <x:xf numFmtId="0" fontId="27" fillId="0" borderId="35" xfId="6" applyFont="1" applyBorder="1" applyAlignment="1">
      <x:alignment horizontal="center" vertical="center"/>
    </x:xf>
    <x:xf numFmtId="0" fontId="27" fillId="0" borderId="35" xfId="6" applyFont="1" applyBorder="1" applyAlignment="1">
      <x:alignment horizontal="center" vertical="center" wrapText="1"/>
    </x:xf>
    <x:xf numFmtId="0" fontId="27" fillId="0" borderId="18" xfId="6" applyFont="1" applyBorder="1" applyAlignment="1">
      <x:alignment horizontal="center" vertical="center"/>
    </x:xf>
    <x:xf numFmtId="0" fontId="27" fillId="0" borderId="36" xfId="6" applyFont="1" applyBorder="1" applyAlignment="1">
      <x:alignment horizontal="center" vertical="center"/>
    </x:xf>
    <x:xf numFmtId="0" fontId="27" fillId="0" borderId="36" xfId="6" applyFont="1" applyBorder="1" applyAlignment="1">
      <x:alignment horizontal="center" vertical="center" wrapText="1"/>
    </x:xf>
    <x:xf numFmtId="0" fontId="15" fillId="11" borderId="37" xfId="6" applyFont="1" applyFill="1" applyBorder="1" applyAlignment="1">
      <x:alignment horizontal="center" vertical="center" wrapText="1"/>
    </x:xf>
    <x:xf numFmtId="0" fontId="33" fillId="0" borderId="19" xfId="6" applyFont="1" applyBorder="1" applyAlignment="1">
      <x:alignment horizontal="center" vertical="center"/>
    </x:xf>
    <x:xf numFmtId="0" fontId="33" fillId="0" borderId="20" xfId="6" applyFont="1" applyBorder="1" applyAlignment="1">
      <x:alignment horizontal="center" vertical="center"/>
    </x:xf>
    <x:xf numFmtId="0" fontId="33" fillId="0" borderId="20" xfId="6" applyFont="1" applyBorder="1" applyAlignment="1">
      <x:alignment horizontal="center" vertical="center" wrapText="1"/>
    </x:xf>
    <x:xf numFmtId="0" fontId="34" fillId="0" borderId="21" xfId="6" applyFont="1" applyBorder="1" applyAlignment="1">
      <x:alignment horizontal="center" vertical="center"/>
    </x:xf>
    <x:xf numFmtId="9" fontId="34" fillId="11" borderId="23" xfId="6" applyNumberFormat="1" applyFont="1" applyFill="1" applyBorder="1" applyAlignment="1">
      <x:alignment horizontal="center" vertical="center"/>
    </x:xf>
    <x:xf numFmtId="0" fontId="17" fillId="0" borderId="19" xfId="6" applyFont="1" applyBorder="1" applyAlignment="1">
      <x:alignment horizontal="center" vertical="center"/>
    </x:xf>
    <x:xf numFmtId="0" fontId="27" fillId="11" borderId="35" xfId="6" applyFont="1" applyFill="1" applyBorder="1" applyAlignment="1">
      <x:alignment horizontal="center" vertical="center"/>
    </x:xf>
    <x:xf numFmtId="0" fontId="27" fillId="11" borderId="35" xfId="6" applyFont="1" applyFill="1" applyBorder="1" applyAlignment="1">
      <x:alignment horizontal="center" vertical="center" wrapText="1"/>
    </x:xf>
    <x:xf numFmtId="176" fontId="27" fillId="11" borderId="35" xfId="6" applyNumberFormat="1" applyFont="1" applyFill="1" applyBorder="1" applyAlignment="1">
      <x:alignment horizontal="center" vertical="center"/>
    </x:xf>
    <x:xf numFmtId="0" fontId="34" fillId="12" borderId="39" xfId="6" applyFont="1" applyFill="1" applyBorder="1" applyAlignment="1">
      <x:alignment horizontal="left" vertical="center"/>
    </x:xf>
    <x:xf numFmtId="178" fontId="22" fillId="15" borderId="17" xfId="6" applyNumberFormat="1" applyFont="1" applyFill="1" applyBorder="1" applyAlignment="1">
      <x:alignment horizontal="center" vertical="center"/>
    </x:xf>
    <x:xf numFmtId="0" fontId="15" fillId="11" borderId="10" xfId="6" applyFont="1" applyFill="1" applyBorder="1" applyAlignment="1">
      <x:alignment horizontal="center" vertical="center" wrapText="1"/>
    </x:xf>
    <x:xf numFmtId="0" fontId="27" fillId="0" borderId="42" xfId="6" applyFont="1" applyBorder="1" applyAlignment="1">
      <x:alignment horizontal="center" vertical="center" wrapText="1"/>
    </x:xf>
    <x:xf numFmtId="0" fontId="27" fillId="0" borderId="43" xfId="6" applyFont="1" applyBorder="1" applyAlignment="1">
      <x:alignment horizontal="center" vertical="center" wrapText="1"/>
    </x:xf>
    <x:xf numFmtId="0" fontId="27" fillId="0" borderId="44" xfId="6" applyFont="1" applyBorder="1" applyAlignment="1">
      <x:alignment horizontal="center" vertical="center" wrapText="1"/>
    </x:xf>
    <x:xf numFmtId="9" fontId="20" fillId="11" borderId="49" xfId="6" applyNumberFormat="1" applyFont="1" applyFill="1" applyBorder="1" applyAlignment="1">
      <x:alignment horizontal="center" vertical="center"/>
    </x:xf>
    <x:xf numFmtId="9" fontId="17" fillId="11" borderId="49" xfId="6" applyNumberFormat="1" applyFont="1" applyFill="1" applyBorder="1" applyAlignment="1">
      <x:alignment horizontal="center" vertical="center"/>
    </x:xf>
    <x:xf numFmtId="9" fontId="19" fillId="11" borderId="49" xfId="6" applyNumberFormat="1" applyFont="1" applyFill="1" applyBorder="1" applyAlignment="1">
      <x:alignment horizontal="center" vertical="center"/>
    </x:xf>
    <x:xf numFmtId="9" fontId="20" fillId="11" borderId="50" xfId="6" applyNumberFormat="1" applyFont="1" applyFill="1" applyBorder="1" applyAlignment="1">
      <x:alignment horizontal="center" vertical="center"/>
    </x:xf>
    <x:xf numFmtId="9" fontId="17" fillId="11" borderId="50" xfId="6" applyNumberFormat="1" applyFont="1" applyFill="1" applyBorder="1" applyAlignment="1">
      <x:alignment horizontal="center" vertical="center"/>
    </x:xf>
    <x:xf numFmtId="9" fontId="19" fillId="11" borderId="50" xfId="6" applyNumberFormat="1" applyFont="1" applyFill="1" applyBorder="1" applyAlignment="1">
      <x:alignment horizontal="center" vertical="center"/>
    </x:xf>
    <x:xf numFmtId="0" fontId="25" fillId="0" borderId="52" xfId="6" applyFont="1" applyBorder="1" applyAlignment="1">
      <x:alignment horizontal="left" vertical="center"/>
    </x:xf>
    <x:xf numFmtId="0" fontId="25" fillId="0" borderId="54" xfId="6" applyFont="1" applyBorder="1" applyAlignment="1">
      <x:alignment horizontal="left" vertical="center"/>
    </x:xf>
    <x:xf numFmtId="0" fontId="24" fillId="14" borderId="54" xfId="6" applyFont="1" applyFill="1" applyBorder="1" applyAlignment="1">
      <x:alignment horizontal="center" vertical="center"/>
    </x:xf>
    <x:xf numFmtId="0" fontId="25" fillId="0" borderId="53" xfId="6" applyFont="1" applyBorder="1" applyAlignment="1">
      <x:alignment horizontal="left" vertical="center"/>
    </x:xf>
    <x:xf numFmtId="0" fontId="24" fillId="0" borderId="54" xfId="6" applyFont="1" applyBorder="1" applyAlignment="1">
      <x:alignment horizontal="center" vertical="center"/>
    </x:xf>
    <x:xf numFmtId="0" fontId="28" fillId="0" borderId="54" xfId="6" applyFont="1" applyBorder="1" applyAlignment="1">
      <x:alignment horizontal="left" vertical="center"/>
    </x:xf>
    <x:xf numFmtId="0" fontId="25" fillId="0" borderId="55" xfId="6" applyFont="1" applyBorder="1" applyAlignment="1">
      <x:alignment horizontal="left" vertical="center"/>
    </x:xf>
    <x:xf numFmtId="0" fontId="25" fillId="0" borderId="56" xfId="6" applyFont="1" applyBorder="1" applyAlignment="1">
      <x:alignment horizontal="left" vertical="center"/>
    </x:xf>
    <x:xf numFmtId="0" fontId="24" fillId="0" borderId="56" xfId="6" applyFont="1" applyBorder="1" applyAlignment="1">
      <x:alignment horizontal="center" vertical="center"/>
    </x:xf>
    <x:xf numFmtId="0" fontId="29" fillId="0" borderId="56" xfId="6" applyFont="1" applyBorder="1" applyAlignment="1">
      <x:alignment horizontal="center" vertical="center"/>
    </x:xf>
    <x:xf numFmtId="0" fontId="28" fillId="0" borderId="56" xfId="6" applyFont="1" applyBorder="1" applyAlignment="1">
      <x:alignment horizontal="left" vertical="center"/>
    </x:xf>
    <x:xf numFmtId="0" fontId="25" fillId="0" borderId="51" xfId="6" applyFont="1" applyBorder="1" applyAlignment="1">
      <x:alignment horizontal="left" vertical="center"/>
    </x:xf>
    <x:xf numFmtId="0" fontId="28" fillId="0" borderId="53" xfId="6" applyFont="1" applyBorder="1" applyAlignment="1">
      <x:alignment horizontal="left" vertical="center"/>
    </x:xf>
    <x:xf numFmtId="0" fontId="24" fillId="0" borderId="53" xfId="6" applyFont="1" applyBorder="1" applyAlignment="1">
      <x:alignment horizontal="center" vertical="center"/>
    </x:xf>
    <x:xf numFmtId="0" fontId="25" fillId="0" borderId="57" xfId="6" applyFont="1" applyBorder="1" applyAlignment="1">
      <x:alignment horizontal="left" vertical="center"/>
    </x:xf>
    <x:xf numFmtId="0" fontId="25" fillId="0" borderId="58" xfId="6" applyFont="1" applyBorder="1" applyAlignment="1">
      <x:alignment horizontal="left" vertical="center"/>
    </x:xf>
    <x:xf numFmtId="0" fontId="25" fillId="0" borderId="59" xfId="6" applyFont="1" applyBorder="1" applyAlignment="1">
      <x:alignment horizontal="left" vertical="center"/>
    </x:xf>
    <x:xf numFmtId="0" fontId="25" fillId="0" borderId="60" xfId="6" applyFont="1" applyBorder="1" applyAlignment="1">
      <x:alignment horizontal="left" vertical="center"/>
    </x:xf>
    <x:xf numFmtId="0" fontId="28" fillId="0" borderId="59" xfId="6" applyFont="1" applyBorder="1" applyAlignment="1">
      <x:alignment horizontal="left" vertical="center"/>
    </x:xf>
    <x:xf numFmtId="0" fontId="28" fillId="0" borderId="60" xfId="6" applyFont="1" applyBorder="1" applyAlignment="1">
      <x:alignment horizontal="left" vertical="center"/>
    </x:xf>
    <x:xf numFmtId="0" fontId="24" fillId="0" borderId="59" xfId="6" applyFont="1" applyBorder="1" applyAlignment="1">
      <x:alignment horizontal="center" vertical="center"/>
    </x:xf>
    <x:xf numFmtId="0" fontId="24" fillId="0" borderId="60" xfId="6" applyFont="1" applyBorder="1" applyAlignment="1">
      <x:alignment horizontal="center" vertical="center"/>
    </x:xf>
    <x:xf numFmtId="9" fontId="19" fillId="11" borderId="61" xfId="6" applyNumberFormat="1" applyFont="1" applyFill="1" applyBorder="1" applyAlignment="1">
      <x:alignment horizontal="center" vertical="center"/>
    </x:xf>
    <x:xf numFmtId="9" fontId="19" fillId="11" borderId="62" xfId="6" applyNumberFormat="1" applyFont="1" applyFill="1" applyBorder="1" applyAlignment="1">
      <x:alignment horizontal="center" vertical="center"/>
    </x:xf>
    <x:xf numFmtId="9" fontId="19" fillId="11" borderId="63" xfId="6" applyNumberFormat="1" applyFont="1" applyFill="1" applyBorder="1" applyAlignment="1">
      <x:alignment horizontal="center" vertical="center"/>
    </x:xf>
    <x:xf numFmtId="9" fontId="30" fillId="12" borderId="12" xfId="6" applyNumberFormat="1" applyFont="1" applyFill="1" applyBorder="1" applyAlignment="1">
      <x:alignment horizontal="center" vertical="center"/>
    </x:xf>
    <x:xf numFmtId="0" fontId="24" fillId="14" borderId="57" xfId="6" applyFont="1" applyFill="1" applyBorder="1" applyAlignment="1">
      <x:alignment horizontal="center" vertical="center"/>
    </x:xf>
    <x:xf numFmtId="0" fontId="24" fillId="14" borderId="59" xfId="6" applyFont="1" applyFill="1" applyBorder="1" applyAlignment="1">
      <x:alignment horizontal="center" vertical="center"/>
    </x:xf>
    <x:xf numFmtId="0" fontId="29" fillId="0" borderId="60" xfId="6" applyFont="1" applyBorder="1" applyAlignment="1">
      <x:alignment horizontal="center" vertical="center"/>
    </x:xf>
    <x:xf numFmtId="0" fontId="24" fillId="14" borderId="70" xfId="6" applyFont="1" applyFill="1" applyBorder="1" applyAlignment="1">
      <x:alignment horizontal="center" vertical="center"/>
    </x:xf>
    <x:xf numFmtId="0" fontId="25" fillId="0" borderId="71" xfId="6" applyFont="1" applyBorder="1" applyAlignment="1">
      <x:alignment horizontal="left" vertical="center"/>
    </x:xf>
    <x:xf numFmtId="0" fontId="25" fillId="0" borderId="69" xfId="6" applyFont="1" applyBorder="1" applyAlignment="1">
      <x:alignment horizontal="left" vertical="center"/>
    </x:xf>
    <x:xf numFmtId="0" fontId="25" fillId="0" borderId="70" xfId="6" applyFont="1" applyBorder="1" applyAlignment="1">
      <x:alignment horizontal="left" vertical="center"/>
    </x:xf>
    <x:xf numFmtId="0" fontId="25" fillId="0" borderId="72" xfId="6" applyFont="1" applyBorder="1" applyAlignment="1">
      <x:alignment horizontal="left" vertical="center"/>
    </x:xf>
    <x:xf numFmtId="0" fontId="25" fillId="0" borderId="73" xfId="6" applyFont="1" applyBorder="1" applyAlignment="1">
      <x:alignment horizontal="left" vertical="center"/>
    </x:xf>
    <x:xf numFmtId="0" fontId="25" fillId="0" borderId="66" xfId="6" applyFont="1" applyBorder="1" applyAlignment="1">
      <x:alignment horizontal="left" vertical="center"/>
    </x:xf>
    <x:xf numFmtId="0" fontId="25" fillId="0" borderId="64" xfId="6" applyFont="1" applyBorder="1" applyAlignment="1">
      <x:alignment horizontal="left" vertical="center"/>
    </x:xf>
    <x:xf numFmtId="0" fontId="25" fillId="0" borderId="65" xfId="6" applyFont="1" applyBorder="1" applyAlignment="1">
      <x:alignment horizontal="left" vertical="center"/>
    </x:xf>
    <x:xf numFmtId="0" fontId="25" fillId="0" borderId="67" xfId="6" applyFont="1" applyBorder="1" applyAlignment="1">
      <x:alignment horizontal="left" vertical="center"/>
    </x:xf>
    <x:xf numFmtId="0" fontId="25" fillId="0" borderId="68" xfId="6" applyFont="1" applyBorder="1" applyAlignment="1">
      <x:alignment horizontal="left" vertical="center"/>
    </x:xf>
    <x:xf numFmtId="0" fontId="24" fillId="0" borderId="71" xfId="6" applyFont="1" applyBorder="1" applyAlignment="1">
      <x:alignment horizontal="center" vertical="center"/>
    </x:xf>
    <x:xf numFmtId="0" fontId="24" fillId="0" borderId="66" xfId="6" applyFont="1" applyBorder="1" applyAlignment="1">
      <x:alignment horizontal="center" vertical="center"/>
    </x:xf>
    <x:xf numFmtId="0" fontId="24" fillId="0" borderId="64" xfId="6" applyFont="1" applyBorder="1" applyAlignment="1">
      <x:alignment horizontal="center" vertical="center"/>
    </x:xf>
    <x:xf numFmtId="0" fontId="24" fillId="0" borderId="65" xfId="6" applyFont="1" applyBorder="1" applyAlignment="1">
      <x:alignment horizontal="center" vertical="center"/>
    </x:xf>
    <x:xf numFmtId="0" fontId="24" fillId="0" borderId="67" xfId="6" applyFont="1" applyBorder="1" applyAlignment="1">
      <x:alignment horizontal="center" vertical="center"/>
    </x:xf>
    <x:xf numFmtId="0" fontId="24" fillId="0" borderId="68" xfId="6" applyFont="1" applyBorder="1" applyAlignment="1">
      <x:alignment horizontal="center" vertical="center"/>
    </x:xf>
    <x:xf numFmtId="0" fontId="25" fillId="0" borderId="74" xfId="6" applyFont="1" applyBorder="1" applyAlignment="1">
      <x:alignment horizontal="left" vertical="center"/>
    </x:xf>
    <x:xf numFmtId="0" fontId="25" fillId="0" borderId="75" xfId="6" applyFont="1" applyBorder="1" applyAlignment="1">
      <x:alignment horizontal="left" vertical="center"/>
    </x:xf>
    <x:xf numFmtId="0" fontId="25" fillId="0" borderId="76" xfId="6" applyFont="1" applyBorder="1" applyAlignment="1">
      <x:alignment horizontal="left" vertical="center"/>
    </x:xf>
    <x:xf numFmtId="0" fontId="25" fillId="0" borderId="77" xfId="6" applyFont="1" applyBorder="1" applyAlignment="1">
      <x:alignment horizontal="left" vertical="center"/>
    </x:xf>
    <x:xf numFmtId="0" fontId="25" fillId="0" borderId="78" xfId="6" applyFont="1" applyBorder="1" applyAlignment="1">
      <x:alignment horizontal="left" vertical="center"/>
    </x:xf>
    <x:xf numFmtId="0" fontId="24" fillId="0" borderId="77" xfId="6" applyFont="1" applyBorder="1" applyAlignment="1">
      <x:alignment horizontal="center" vertical="center"/>
    </x:xf>
    <x:xf numFmtId="0" fontId="27" fillId="0" borderId="82" xfId="6" applyFont="1" applyBorder="1" applyAlignment="1">
      <x:alignment horizontal="center" vertical="center"/>
    </x:xf>
    <x:xf numFmtId="0" fontId="27" fillId="0" borderId="83" xfId="6" applyFont="1" applyBorder="1" applyAlignment="1">
      <x:alignment horizontal="center" vertical="center"/>
    </x:xf>
    <x:xf numFmtId="0" fontId="27" fillId="0" borderId="83" xfId="6" applyFont="1" applyBorder="1" applyAlignment="1">
      <x:alignment horizontal="center" vertical="center" wrapText="1"/>
    </x:xf>
    <x:xf numFmtId="176" fontId="27" fillId="0" borderId="84" xfId="6" applyNumberFormat="1" applyFont="1" applyBorder="1" applyAlignment="1">
      <x:alignment horizontal="center" vertical="center"/>
    </x:xf>
    <x:xf numFmtId="176" fontId="27" fillId="0" borderId="85" xfId="6" applyNumberFormat="1" applyFont="1" applyBorder="1" applyAlignment="1">
      <x:alignment horizontal="center" vertical="center"/>
    </x:xf>
    <x:xf numFmtId="176" fontId="27" fillId="0" borderId="83" xfId="6" applyNumberFormat="1" applyFont="1" applyBorder="1" applyAlignment="1">
      <x:alignment horizontal="center" vertical="center"/>
    </x:xf>
    <x:xf numFmtId="176" fontId="27" fillId="0" borderId="82" xfId="6" applyNumberFormat="1" applyFont="1" applyBorder="1" applyAlignment="1">
      <x:alignment horizontal="center" vertical="center"/>
    </x:xf>
    <x:xf numFmtId="0" fontId="16" fillId="2" borderId="0" xfId="6" applyFont="1" applyFill="1" applyAlignment="1">
      <x:alignment horizontal="right" vertical="center"/>
    </x:xf>
    <x:xf numFmtId="0" fontId="30" fillId="3" borderId="4" xfId="6" applyFont="1" applyFill="1" applyBorder="1" applyAlignment="1">
      <x:alignment horizontal="center" vertical="center"/>
    </x:xf>
    <x:xf numFmtId="0" fontId="30" fillId="3" borderId="5" xfId="6" applyFont="1" applyFill="1" applyBorder="1" applyAlignment="1">
      <x:alignment horizontal="center" vertical="center"/>
    </x:xf>
    <x:xf numFmtId="0" fontId="30" fillId="3" borderId="6" xfId="6" applyFont="1" applyFill="1" applyBorder="1" applyAlignment="1">
      <x:alignment horizontal="center" vertical="center"/>
    </x:xf>
    <x:xf numFmtId="0" fontId="30" fillId="4" borderId="6" xfId="6" applyFont="1" applyFill="1" applyBorder="1" applyAlignment="1">
      <x:alignment horizontal="center" vertical="center"/>
    </x:xf>
    <x:xf numFmtId="0" fontId="30" fillId="3" borderId="11" xfId="6" applyFont="1" applyFill="1" applyBorder="1" applyAlignment="1">
      <x:alignment horizontal="center" vertical="center"/>
    </x:xf>
    <x:xf numFmtId="0" fontId="30" fillId="4" borderId="7" xfId="6" applyFont="1" applyFill="1" applyBorder="1" applyAlignment="1">
      <x:alignment horizontal="center" vertical="center" wrapText="1"/>
    </x:xf>
    <x:xf numFmtId="0" fontId="32" fillId="8" borderId="14" xfId="6" applyFont="1" applyFill="1" applyBorder="1" applyAlignment="1">
      <x:alignment horizontal="center" vertical="center"/>
    </x:xf>
    <x:xf numFmtId="0" fontId="30" fillId="4" borderId="8" xfId="6" applyFont="1" applyFill="1" applyBorder="1" applyAlignment="1">
      <x:alignment horizontal="center" vertical="center" wrapText="1"/>
    </x:xf>
    <x:xf numFmtId="0" fontId="30" fillId="4" borderId="9" xfId="6" applyFont="1" applyFill="1" applyBorder="1" applyAlignment="1">
      <x:alignment horizontal="center" vertical="center" wrapText="1"/>
    </x:xf>
    <x:xf numFmtId="0" fontId="30" fillId="4" borderId="10" xfId="6" applyFont="1" applyFill="1" applyBorder="1" applyAlignment="1">
      <x:alignment horizontal="center" vertical="center" wrapText="1"/>
    </x:xf>
    <x:xf numFmtId="0" fontId="30" fillId="5" borderId="10" xfId="6" applyFont="1" applyFill="1" applyBorder="1" applyAlignment="1">
      <x:alignment horizontal="center" vertical="center"/>
    </x:xf>
    <x:xf numFmtId="0" fontId="27" fillId="11" borderId="19" xfId="6" applyFont="1" applyFill="1" applyBorder="1" applyAlignment="1">
      <x:alignment horizontal="center" vertical="center" wrapText="1"/>
    </x:xf>
    <x:xf numFmtId="0" fontId="27" fillId="11" borderId="19" xfId="6" applyFont="1" applyFill="1" applyBorder="1" applyAlignment="1">
      <x:alignment horizontal="center" vertical="center"/>
    </x:xf>
    <x:xf numFmtId="0" fontId="27" fillId="11" borderId="28" xfId="6" applyFont="1" applyFill="1" applyBorder="1" applyAlignment="1">
      <x:alignment horizontal="center" vertical="center" wrapText="1"/>
    </x:xf>
    <x:xf numFmtId="0" fontId="27" fillId="11" borderId="28" xfId="6" applyFont="1" applyFill="1" applyBorder="1" applyAlignment="1">
      <x:alignment horizontal="center" vertical="center"/>
    </x:xf>
    <x:xf numFmtId="0" fontId="27" fillId="11" borderId="25" xfId="6" applyFont="1" applyFill="1" applyBorder="1" applyAlignment="1">
      <x:alignment horizontal="center" vertical="center" wrapText="1"/>
    </x:xf>
    <x:xf numFmtId="0" fontId="27" fillId="11" borderId="25" xfId="6" applyFont="1" applyFill="1" applyBorder="1" applyAlignment="1">
      <x:alignment horizontal="center" vertical="center"/>
    </x:xf>
    <x:xf numFmtId="0" fontId="27" fillId="11" borderId="46" xfId="6" applyFont="1" applyFill="1" applyBorder="1" applyAlignment="1">
      <x:alignment horizontal="center" vertical="center" wrapText="1"/>
    </x:xf>
    <x:xf numFmtId="0" fontId="27" fillId="11" borderId="32" xfId="6" applyFont="1" applyFill="1" applyBorder="1" applyAlignment="1">
      <x:alignment horizontal="center" vertical="center" wrapText="1"/>
    </x:xf>
    <x:xf numFmtId="0" fontId="27" fillId="11" borderId="32" xfId="6" applyFont="1" applyFill="1" applyBorder="1" applyAlignment="1">
      <x:alignment horizontal="center" vertical="center"/>
    </x:xf>
    <x:xf numFmtId="0" fontId="27" fillId="11" borderId="79" xfId="6" applyFont="1" applyFill="1" applyBorder="1" applyAlignment="1">
      <x:alignment horizontal="center" vertical="center" wrapText="1"/>
    </x:xf>
    <x:xf numFmtId="0" fontId="27" fillId="11" borderId="80" xfId="6" applyFont="1" applyFill="1" applyBorder="1" applyAlignment="1">
      <x:alignment horizontal="center" vertical="center" wrapText="1"/>
    </x:xf>
    <x:xf numFmtId="0" fontId="27" fillId="11" borderId="34" xfId="6" applyFont="1" applyFill="1" applyBorder="1" applyAlignment="1">
      <x:alignment horizontal="center" vertical="center"/>
    </x:xf>
    <x:xf numFmtId="0" fontId="27" fillId="11" borderId="81" xfId="6" applyFont="1" applyFill="1" applyBorder="1" applyAlignment="1">
      <x:alignment horizontal="center" vertical="center" wrapText="1"/>
    </x:xf>
    <x:xf numFmtId="0" fontId="27" fillId="11" borderId="82" xfId="6" applyFont="1" applyFill="1" applyBorder="1" applyAlignment="1">
      <x:alignment horizontal="center" vertical="center"/>
    </x:xf>
    <x:xf numFmtId="0" fontId="27" fillId="11" borderId="41" xfId="6" applyFont="1" applyFill="1" applyBorder="1" applyAlignment="1">
      <x:alignment horizontal="center" vertical="center" wrapText="1"/>
    </x:xf>
    <x:xf numFmtId="0" fontId="27" fillId="11" borderId="34" xfId="6" applyFont="1" applyFill="1" applyBorder="1" applyAlignment="1">
      <x:alignment horizontal="center" vertical="center" wrapText="1"/>
    </x:xf>
    <x:xf numFmtId="0" fontId="21" fillId="3" borderId="10" xfId="6" applyFont="1" applyFill="1" applyBorder="1" applyAlignment="1">
      <x:alignment horizontal="center" vertical="center"/>
    </x:xf>
    <x:xf numFmtId="0" fontId="19" fillId="7" borderId="0" xfId="6" applyFont="1" applyFill="1" applyAlignment="1">
      <x:alignment horizontal="center" vertical="center"/>
    </x:xf>
    <x:xf numFmtId="0" fontId="27" fillId="11" borderId="47" xfId="6" applyFont="1" applyFill="1" applyBorder="1" applyAlignment="1">
      <x:alignment horizontal="center" vertical="center" wrapText="1"/>
    </x:xf>
    <x:xf numFmtId="0" fontId="27" fillId="11" borderId="48" xfId="6" applyFont="1" applyFill="1" applyBorder="1" applyAlignment="1">
      <x:alignment horizontal="center" vertical="center" wrapText="1"/>
    </x:xf>
    <x:xf numFmtId="0" fontId="27" fillId="11" borderId="45" xfId="6" applyFont="1" applyFill="1" applyBorder="1" applyAlignment="1">
      <x:alignment horizontal="center" vertical="center" wrapText="1"/>
    </x:xf>
    <x:xf numFmtId="9" fontId="30" fillId="12" borderId="12" xfId="6" applyNumberFormat="1" applyFont="1" applyFill="1" applyBorder="1" applyAlignment="1">
      <x:alignment horizontal="center" vertical="center"/>
    </x:xf>
    <x:xf numFmtId="9" fontId="30" fillId="12" borderId="13" xfId="6" applyNumberFormat="1" applyFont="1" applyFill="1" applyBorder="1" applyAlignment="1">
      <x:alignment horizontal="center" vertical="center"/>
    </x:xf>
    <x:xf numFmtId="0" fontId="30" fillId="12" borderId="38" xfId="6" applyFont="1" applyFill="1" applyBorder="1" applyAlignment="1">
      <x:alignment horizontal="left" vertical="center"/>
    </x:xf>
    <x:xf numFmtId="0" fontId="27" fillId="11" borderId="86" xfId="6" applyFont="1" applyFill="1" applyBorder="1" applyAlignment="1">
      <x:alignment horizontal="center" vertical="center" wrapText="1"/>
    </x:xf>
    <x:xf numFmtId="176" fontId="27" fillId="0" borderId="32" xfId="6" applyNumberFormat="1" applyFont="1" applyBorder="1" applyAlignment="1">
      <x:alignment horizontal="center" vertical="center"/>
    </x:xf>
  </x:cellXfs>
  <x:cellStyles count="7">
    <x:cellStyle name="Comma" xfId="1"/>
    <x:cellStyle name="Comma [0]" xfId="2"/>
    <x:cellStyle name="Currency" xfId="3"/>
    <x:cellStyle name="Currency [0]" xfId="4"/>
    <x:cellStyle name="Normal" xfId="6"/>
    <x:cellStyle name="Percent" xfId="5"/>
    <x:cellStyle name="표준" xfId="0"/>
  </x:cellStyles>
  <x:dxfs count="3">
    <x:dxf>
      <x:fill>
        <x:patternFill>
          <x:bgColor rgb="FF00FFFF"/>
        </x:patternFill>
      </x:fill>
    </x:dxf>
    <x:dxf>
      <x:fill>
        <x:patternFill>
          <x:bgColor rgb="FF0000FF"/>
        </x:patternFill>
      </x:fill>
    </x:dxf>
    <x:dxf>
      <x:font>
        <x:color rgb="FFFFFFFF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595959"/>
      <x:rgbColor rgb="FF9999FF"/>
      <x:rgbColor rgb="FF993366"/>
      <x:rgbColor rgb="FFF8F8F8"/>
      <x:rgbColor rgb="FFEFEFEF"/>
      <x:rgbColor rgb="FF660066"/>
      <x:rgbColor rgb="FFFF8080"/>
      <x:rgbColor rgb="FF0066CC"/>
      <x:rgbColor rgb="FFCCCCCC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3F3F3"/>
      <x:rgbColor rgb="FFD9D9D9"/>
      <x:rgbColor rgb="FFFFFF99"/>
      <x:rgbColor rgb="FF99CCFF"/>
      <x:rgbColor rgb="FFFF99CC"/>
      <x:rgbColor rgb="FFCC99FF"/>
      <x:rgbColor rgb="FFFFCC99"/>
      <x:rgbColor rgb="FF4A86E8"/>
      <x:rgbColor rgb="FF33CCCC"/>
      <x:rgbColor rgb="FF99CC00"/>
      <x:rgbColor rgb="FFFFCC00"/>
      <x:rgbColor rgb="FFFF9900"/>
      <x:rgbColor rgb="FFEA4335"/>
      <x:rgbColor rgb="FF666666"/>
      <x:rgbColor rgb="FF999999"/>
      <x:rgbColor rgb="FF434343"/>
      <x:rgbColor rgb="FF339966"/>
      <x:rgbColor rgb="FF003300"/>
      <x:rgbColor rgb="FF404040"/>
      <x:rgbColor rgb="FF993300"/>
      <x:rgbColor rgb="FF993366"/>
      <x:rgbColor rgb="FF1F4E78"/>
      <x:rgbColor rgb="FF26262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3d14f73714f49" /><Relationship Type="http://schemas.openxmlformats.org/officeDocument/2006/relationships/theme" Target="/xl/theme/theme1.xml" Id="R13c89ddf914d4a1f" /><Relationship Type="http://schemas.openxmlformats.org/officeDocument/2006/relationships/sharedStrings" Target="/xl/sharedStrings.xml" Id="R9d4ab95eb5d441e7" /><Relationship Type="http://schemas.openxmlformats.org/officeDocument/2006/relationships/worksheet" Target="/xl/worksheets/sheet1.xml" Id="Re54310f1d2654134" /><Relationship Type="http://schemas.openxmlformats.org/officeDocument/2006/relationships/worksheet" Target="/xl/worksheets/sheet2.xml" Id="Ra7b717aa0314490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0000"/>
  </x:sheetPr>
  <x:sheetViews>
    <x:sheetView showGridLines="0" workbookViewId="0">
      <x:pane xSplit="6" ySplit="5" topLeftCell="G6" activePane="bottomRight" state="frozen"/>
    </x:sheetView>
  </x:sheetViews>
  <x:sheetFormatPr defaultColWidth="12.5703125" defaultRowHeight="12.75"/>
  <x:cols>
    <x:col min="1" max="1" width="1.28515625" customWidth="1"/>
    <x:col min="2" max="2" width="4.42578125" customWidth="1"/>
    <x:col min="3" max="3" width="11.85546875" style="49" customWidth="1"/>
    <x:col min="4" max="4" width="16" style="49" customWidth="1"/>
    <x:col min="5" max="5" width="12" style="49" customWidth="1"/>
    <x:col min="6" max="6" width="34" style="49" customWidth="1"/>
    <x:col min="7" max="7" width="16.28515625" style="49" customWidth="1"/>
    <x:col min="8" max="9" width="9" customWidth="1"/>
    <x:col min="10" max="10" width="54.85546875" customWidth="1"/>
    <x:col min="11" max="21" width="16.5703125" customWidth="1"/>
    <x:col min="22" max="22" width="15.5703125" customWidth="1"/>
    <x:col min="23" max="31" width="5" customWidth="1"/>
  </x:cols>
  <x:sheetData>
    <x:row r="1" ht="35.25" customHeight="1">
      <x:c r="A1" s="11"/>
      <x:c r="B1" s="13" t="s">
        <x:v>0</x:v>
      </x:c>
      <x:c r="C1" s="47"/>
      <x:c r="D1" s="47"/>
      <x:c r="E1" s="47"/>
      <x:c r="F1" s="47"/>
      <x:c r="G1" s="47"/>
      <x:c r="H1" s="14"/>
      <x:c r="I1" s="14"/>
      <x:c r="J1" s="14"/>
      <x:c r="K1" s="15" t="s">
        <x:v>1</x:v>
      </x:c>
      <x:c r="L1" s="16" t="n">
        <x:v>46305</x:v>
      </x:c>
      <x:c r="M1" s="17"/>
      <x:c r="N1" s="17"/>
      <x:c r="O1" s="175"/>
      <x:c r="P1" s="175"/>
      <x:c r="Q1" s="175"/>
      <x:c r="R1" s="17"/>
      <x:c r="S1" s="17"/>
      <x:c r="T1" s="18" t="s">
        <x:v>2</x:v>
      </x:c>
      <x:c r="U1" s="19" t="n">
        <x:f>U5/S5</x:f>
        <x:v>2.0952380952380953</x:v>
      </x:c>
      <x:c r="V1" s="20" t="str">
        <x:f>IF(U1&lt;0.75,"(위험)",IF(U1&lt;0.85,"(경고)",IF(U1&lt;0.95,"(주의)","(양호)")))</x:f>
        <x:v>(양호)</x:v>
      </x:c>
      <x:c r="W1" s="21"/>
      <x:c r="X1" s="21"/>
      <x:c r="Y1" s="21"/>
      <x:c r="Z1" s="21"/>
      <x:c r="AA1" s="21"/>
      <x:c r="AB1" s="21"/>
      <x:c r="AC1" s="21"/>
      <x:c r="AD1" s="21"/>
      <x:c r="AE1" s="21"/>
    </x:row>
    <x:row r="2" ht="6" customHeight="1">
      <x:c r="A2" s="12"/>
      <x:c r="B2" s="22"/>
      <x:c r="C2" s="48"/>
      <x:c r="D2" s="48"/>
      <x:c r="E2" s="24"/>
      <x:c r="F2" s="24"/>
      <x:c r="G2" s="24"/>
      <x:c r="H2" s="24"/>
      <x:c r="I2" s="24"/>
      <x:c r="J2" s="23"/>
      <x:c r="K2" s="23"/>
      <x:c r="L2" s="23"/>
      <x:c r="M2" s="24"/>
      <x:c r="N2" s="24"/>
      <x:c r="O2" s="24"/>
      <x:c r="P2" s="24"/>
      <x:c r="Q2" s="24"/>
      <x:c r="R2" s="25"/>
      <x:c r="S2" s="26"/>
      <x:c r="T2" s="27"/>
      <x:c r="U2" s="27"/>
      <x:c r="V2" s="27"/>
      <x:c r="W2" s="21"/>
      <x:c r="X2" s="21"/>
      <x:c r="Y2" s="21"/>
      <x:c r="Z2" s="21"/>
      <x:c r="AA2" s="21"/>
      <x:c r="AB2" s="21"/>
      <x:c r="AC2" s="21"/>
      <x:c r="AD2" s="21"/>
      <x:c r="AE2" s="21"/>
    </x:row>
    <x:row r="3" ht="21" customHeight="1">
      <x:c r="A3" s="1"/>
      <x:c r="B3" s="176" t="s">
        <x:v>3</x:v>
      </x:c>
      <x:c r="C3" s="176"/>
      <x:c r="D3" s="176"/>
      <x:c r="E3" s="176"/>
      <x:c r="F3" s="177" t="s">
        <x:v>4</x:v>
      </x:c>
      <x:c r="G3" s="177"/>
      <x:c r="H3" s="178" t="s">
        <x:v>5</x:v>
      </x:c>
      <x:c r="I3" s="178"/>
      <x:c r="J3" s="179" t="s">
        <x:v>6</x:v>
      </x:c>
      <x:c r="K3" s="181" t="s">
        <x:v>7</x:v>
      </x:c>
      <x:c r="L3" s="181" t="s">
        <x:v>8</x:v>
      </x:c>
      <x:c r="M3" s="181" t="s">
        <x:v>9</x:v>
      </x:c>
      <x:c r="N3" s="181" t="s">
        <x:v>10</x:v>
      </x:c>
      <x:c r="O3" s="181" t="s">
        <x:v>11</x:v>
      </x:c>
      <x:c r="P3" s="181" t="s">
        <x:v>12</x:v>
      </x:c>
      <x:c r="Q3" s="181" t="s">
        <x:v>13</x:v>
      </x:c>
      <x:c r="R3" s="183" t="s">
        <x:v>14</x:v>
      </x:c>
      <x:c r="S3" s="184" t="s">
        <x:v>15</x:v>
      </x:c>
      <x:c r="T3" s="185" t="s">
        <x:v>16</x:v>
      </x:c>
      <x:c r="U3" s="186" t="s">
        <x:v>17</x:v>
      </x:c>
      <x:c r="V3" s="186"/>
      <x:c r="W3" s="203" t="s">
        <x:v>18</x:v>
      </x:c>
      <x:c r="X3" s="203"/>
      <x:c r="Y3" s="203"/>
      <x:c r="Z3" s="203"/>
      <x:c r="AA3" s="203"/>
      <x:c r="AB3" s="203"/>
      <x:c r="AC3" s="203"/>
      <x:c r="AD3" s="203"/>
      <x:c r="AE3" s="203"/>
    </x:row>
    <x:row r="4" ht="18.75" customHeight="1">
      <x:c r="A4" s="1"/>
      <x:c r="B4" s="176"/>
      <x:c r="C4" s="176"/>
      <x:c r="D4" s="176"/>
      <x:c r="E4" s="176"/>
      <x:c r="F4" s="177"/>
      <x:c r="G4" s="177"/>
      <x:c r="H4" s="177" t="s">
        <x:v>19</x:v>
      </x:c>
      <x:c r="I4" s="180" t="s">
        <x:v>20</x:v>
      </x:c>
      <x:c r="J4" s="179"/>
      <x:c r="K4" s="181"/>
      <x:c r="L4" s="181"/>
      <x:c r="M4" s="181"/>
      <x:c r="N4" s="181"/>
      <x:c r="O4" s="181"/>
      <x:c r="P4" s="181"/>
      <x:c r="Q4" s="181"/>
      <x:c r="R4" s="183"/>
      <x:c r="S4" s="184"/>
      <x:c r="T4" s="185"/>
      <x:c r="U4" s="50" t="s">
        <x:v>21</x:v>
      </x:c>
      <x:c r="V4" s="50" t="s">
        <x:v>22</x:v>
      </x:c>
      <x:c r="W4" s="204" t="s">
        <x:v>23</x:v>
      </x:c>
      <x:c r="X4" s="204"/>
      <x:c r="Y4" s="204"/>
      <x:c r="Z4" s="204"/>
      <x:c r="AA4" s="204"/>
      <x:c r="AB4" s="204"/>
      <x:c r="AC4" s="204"/>
      <x:c r="AD4" s="204"/>
      <x:c r="AE4" s="204"/>
    </x:row>
    <x:row r="5" ht="18" customHeight="1">
      <x:c r="A5" s="1"/>
      <x:c r="B5" s="51"/>
      <x:c r="C5" s="52" t="s">
        <x:v>24</x:v>
      </x:c>
      <x:c r="D5" s="182" t="s">
        <x:v>25</x:v>
      </x:c>
      <x:c r="E5" s="182"/>
      <x:c r="F5" s="177"/>
      <x:c r="G5" s="177"/>
      <x:c r="H5" s="177"/>
      <x:c r="I5" s="180"/>
      <x:c r="J5" s="180"/>
      <x:c r="K5" s="53" t="n">
        <x:f>MIN(K6:K58)</x:f>
        <x:v>46301</x:v>
      </x:c>
      <x:c r="L5" s="53" t="n">
        <x:f>MAX(L6:L58)</x:f>
        <x:v>46309</x:v>
      </x:c>
      <x:c r="M5" s="53" t="n">
        <x:f>MIN(M6:M58)</x:f>
        <x:v>46301</x:v>
      </x:c>
      <x:c r="N5" s="53" t="n">
        <x:f>MAX(N6:N58)</x:f>
        <x:v>46305</x:v>
      </x:c>
      <x:c r="O5" s="54" t="n">
        <x:f t="shared" ref="O5:T5" si="0">O59</x:f>
        <x:v>44</x:v>
      </x:c>
      <x:c r="P5" s="54" t="n">
        <x:f t="shared" si="0">P59</x:f>
        <x:v>96</x:v>
      </x:c>
      <x:c r="Q5" s="54" t="n">
        <x:f t="shared" si="0">Q59</x:f>
        <x:v>21</x:v>
      </x:c>
      <x:c r="R5" s="54" t="n">
        <x:f t="shared" si="0">R59</x:f>
        <x:v>44</x:v>
      </x:c>
      <x:c r="S5" s="55" t="n">
        <x:f t="shared" si="0">S59</x:f>
        <x:v>0.4772727272727273</x:v>
      </x:c>
      <x:c r="T5" s="55" t="n">
        <x:f t="shared" si="0">T59</x:f>
        <x:v>1</x:v>
      </x:c>
      <x:c r="U5" s="56" t="n">
        <x:f>(AVERAGE(U6:U8)*C6)+(AVERAGE(U12:U15)*C12)+(AVERAGE(U18:U48)*C18)+(AVERAGE(U49:U52)*C49)+(AVERAGE(U54:U55)*C54)</x:f>
        <x:v>1</x:v>
      </x:c>
      <x:c r="V5" s="56" t="n">
        <x:f t="shared" ref="V5:V59" si="1">U5-S5</x:f>
        <x:v>0.5227272727272727</x:v>
      </x:c>
      <x:c r="W5" s="28">
        <x:v>46301</x:v>
      </x:c>
      <x:c r="X5" s="28">
        <x:v>46302</x:v>
      </x:c>
      <x:c r="Y5" s="28">
        <x:v>46303</x:v>
      </x:c>
      <x:c r="Z5" s="105">
        <x:v>46304</x:v>
      </x:c>
      <x:c r="AA5" s="105">
        <x:v>46305</x:v>
      </x:c>
      <x:c r="AB5" s="105">
        <x:v>11</x:v>
      </x:c>
      <x:c r="AC5" s="28">
        <x:v>12</x:v>
      </x:c>
      <x:c r="AD5" s="28">
        <x:v>13</x:v>
      </x:c>
      <x:c r="AE5" s="28">
        <x:v>14</x:v>
      </x:c>
    </x:row>
    <x:row r="6" ht="30" customHeight="1">
      <x:c r="A6" s="2"/>
      <x:c r="B6" s="29">
        <x:v>1</x:v>
      </x:c>
      <x:c r="C6" s="57">
        <x:v>0.15</x:v>
      </x:c>
      <x:c r="D6" s="58" t="s">
        <x:v>26</x:v>
      </x:c>
      <x:c r="E6" s="106" t="s">
        <x:v>27</x:v>
      </x:c>
      <x:c r="F6" s="187" t="str">
        <x:v>프로젝트 범위, 일정, 역할 분담</x:v>
      </x:c>
      <x:c r="G6" s="188"/>
      <x:c r="H6" s="59" t="s">
        <x:v>28</x:v>
      </x:c>
      <x:c r="I6" s="60" t="s">
        <x:v>29</x:v>
      </x:c>
      <x:c r="J6" s="61" t="s">
        <x:v>30</x:v>
      </x:c>
      <x:c r="K6" s="34">
        <x:v>46301</x:v>
      </x:c>
      <x:c r="L6" s="34">
        <x:v>46301</x:v>
      </x:c>
      <x:c r="M6" s="34" t="n">
        <x:v>46301</x:v>
      </x:c>
      <x:c r="N6" s="34" t="n">
        <x:v>46301</x:v>
      </x:c>
      <x:c r="O6" s="62" t="n">
        <x:f t="shared" ref="O6:O58" si="2">IF(OR(K6="",L6=""),0,L6-K6+1)</x:f>
        <x:v>1</x:v>
      </x:c>
      <x:c r="P6" s="63" t="n">
        <x:f t="shared" ref="P6:P58" si="3">IF(OR(M6="",N6=""),0,N6-M6+1)</x:f>
        <x:v>1</x:v>
      </x:c>
      <x:c r="Q6" s="60" t="n">
        <x:f t="shared" ref="Q6:Q58" si="4">IF(O6=0,0,MAX(0,MIN(O6,$L$1-K6+1)))</x:f>
        <x:v>1</x:v>
      </x:c>
      <x:c r="R6" s="64" t="n">
        <x:f t="shared" ref="R6:R58" si="5">IF(P6=0,0,MIN(P6,O6))</x:f>
        <x:v>1</x:v>
      </x:c>
      <x:c r="S6" s="65" t="n">
        <x:f t="shared" ref="S6:S59" si="6">IFERROR(Q6/O6,0)</x:f>
        <x:v>1</x:v>
      </x:c>
      <x:c r="T6" s="66" t="n">
        <x:f t="shared" ref="T6:T59" si="7">IFERROR(R6/O6,0)</x:f>
        <x:v>1</x:v>
      </x:c>
      <x:c r="U6" s="67" t="n">
        <x:f t="shared" ref="U6:U58" si="8">IF(OR(O6=0,R6=0),0,MIN(1,R6/O6))</x:f>
        <x:v>1</x:v>
      </x:c>
      <x:c r="V6" s="138" t="n">
        <x:f t="shared" si="1">U6-S6</x:f>
        <x:v>0</x:v>
      </x:c>
      <x:c r="W6" s="142" t="s">
        <x:v>31</x:v>
      </x:c>
      <x:c r="X6" s="148"/>
      <x:c r="Y6" s="122"/>
      <x:c r="Z6" s="130"/>
      <x:c r="AA6" s="116"/>
      <x:c r="AB6" s="131"/>
      <x:c r="AC6" s="127"/>
      <x:c r="AD6" s="116"/>
      <x:c r="AE6" s="131"/>
    </x:row>
    <x:row r="7" ht="30" customHeight="1">
      <x:c r="A7" s="2"/>
      <x:c r="B7" s="29"/>
      <x:c r="C7" s="68"/>
      <x:c r="D7" s="58"/>
      <x:c r="E7" s="106" t="s">
        <x:v>32</x:v>
      </x:c>
      <x:c r="F7" s="187" t="str">
        <x:v>SRS 작성 및 FR, NFR, UI, TC 범위 확정</x:v>
      </x:c>
      <x:c r="G7" s="188"/>
      <x:c r="H7" s="59" t="s">
        <x:v>28</x:v>
      </x:c>
      <x:c r="I7" s="60" t="s">
        <x:v>29</x:v>
      </x:c>
      <x:c r="J7" s="61" t="str">
        <x:v>SRS v1.3</x:v>
      </x:c>
      <x:c r="K7" s="34">
        <x:v>46301</x:v>
      </x:c>
      <x:c r="L7" s="34">
        <x:v>46301</x:v>
      </x:c>
      <x:c r="M7" s="34" t="n">
        <x:v>46301</x:v>
      </x:c>
      <x:c r="N7" s="34" t="n">
        <x:v>46305</x:v>
      </x:c>
      <x:c r="O7" s="62" t="n">
        <x:f t="shared" si="2">IF(OR(K7="",L7=""),0,L7-K7+1)</x:f>
        <x:v>1</x:v>
      </x:c>
      <x:c r="P7" s="63" t="n">
        <x:f t="shared" si="3">IF(OR(M7="",N7=""),0,N7-M7+1)</x:f>
        <x:v>5</x:v>
      </x:c>
      <x:c r="Q7" s="60" t="n">
        <x:f t="shared" si="4">IF(O7=0,0,MAX(0,MIN(O7,$L$1-K7+1)))</x:f>
        <x:v>1</x:v>
      </x:c>
      <x:c r="R7" s="64" t="n">
        <x:f t="shared" si="5">IF(P7=0,0,MIN(P7,O7))</x:f>
        <x:v>1</x:v>
      </x:c>
      <x:c r="S7" s="65" t="n">
        <x:f t="shared" si="6">IFERROR(Q7/O7,0)</x:f>
        <x:v>1</x:v>
      </x:c>
      <x:c r="T7" s="66" t="n">
        <x:f t="shared" si="7">IFERROR(R7/O7,0)</x:f>
        <x:v>1</x:v>
      </x:c>
      <x:c r="U7" s="67" t="n">
        <x:f t="shared" si="8">IF(OR(O7=0,R7=0),0,MIN(1,R7/O7))</x:f>
        <x:v>1</x:v>
      </x:c>
      <x:c r="V7" s="138" t="n">
        <x:f t="shared" si="1">U7-S7</x:f>
        <x:v>0</x:v>
      </x:c>
      <x:c r="W7" s="143" t="s">
        <x:v>31</x:v>
      </x:c>
      <x:c r="X7" s="117"/>
      <x:c r="Y7" s="123"/>
      <x:c r="Z7" s="132"/>
      <x:c r="AA7" s="117"/>
      <x:c r="AB7" s="133"/>
      <x:c r="AC7" s="119"/>
      <x:c r="AD7" s="117"/>
      <x:c r="AE7" s="133"/>
    </x:row>
    <x:row r="8" ht="30" customHeight="1">
      <x:c r="A8" s="2"/>
      <x:c r="B8" s="29"/>
      <x:c r="C8" s="68"/>
      <x:c r="D8" s="58"/>
      <x:c r="E8" s="106" t="s">
        <x:v>33</x:v>
      </x:c>
      <x:c r="F8" s="187" t="s">
        <x:v>34</x:v>
      </x:c>
      <x:c r="G8" s="188"/>
      <x:c r="H8" s="59" t="s">
        <x:v>28</x:v>
      </x:c>
      <x:c r="I8" s="60" t="s">
        <x:v>29</x:v>
      </x:c>
      <x:c r="J8" s="61" t="s">
        <x:v>35</x:v>
      </x:c>
      <x:c r="K8" s="34">
        <x:v>46301</x:v>
      </x:c>
      <x:c r="L8" s="34">
        <x:v>46301</x:v>
      </x:c>
      <x:c r="M8" s="34" t="n">
        <x:v>46301</x:v>
      </x:c>
      <x:c r="N8" s="34" t="n">
        <x:v>46301</x:v>
      </x:c>
      <x:c r="O8" s="62" t="n">
        <x:f t="shared" si="2">IF(OR(K8="",L8=""),0,L8-K8+1)</x:f>
        <x:v>1</x:v>
      </x:c>
      <x:c r="P8" s="63" t="n">
        <x:f t="shared" si="3">IF(OR(M8="",N8=""),0,N8-M8+1)</x:f>
        <x:v>1</x:v>
      </x:c>
      <x:c r="Q8" s="60" t="n">
        <x:f t="shared" si="4">IF(O8=0,0,MAX(0,MIN(O8,$L$1-K8+1)))</x:f>
        <x:v>1</x:v>
      </x:c>
      <x:c r="R8" s="64" t="n">
        <x:f t="shared" si="5">IF(P8=0,0,MIN(P8,O8))</x:f>
        <x:v>1</x:v>
      </x:c>
      <x:c r="S8" s="65" t="n">
        <x:f t="shared" si="6">IFERROR(Q8/O8,0)</x:f>
        <x:v>1</x:v>
      </x:c>
      <x:c r="T8" s="66" t="n">
        <x:f t="shared" si="7">IFERROR(R8/O8,0)</x:f>
        <x:v>1</x:v>
      </x:c>
      <x:c r="U8" s="67" t="n">
        <x:f t="shared" si="8">IF(OR(O8=0,R8=0),0,MIN(1,R8/O8))</x:f>
        <x:v>1</x:v>
      </x:c>
      <x:c r="V8" s="138" t="n">
        <x:f t="shared" si="1">U8-S8</x:f>
        <x:v>0</x:v>
      </x:c>
      <x:c r="W8" s="143" t="s">
        <x:v>31</x:v>
      </x:c>
      <x:c r="X8" s="121"/>
      <x:c r="Y8" s="123"/>
      <x:c r="Z8" s="132"/>
      <x:c r="AA8" s="117"/>
      <x:c r="AB8" s="133"/>
      <x:c r="AC8" s="119"/>
      <x:c r="AD8" s="117"/>
      <x:c r="AE8" s="133"/>
    </x:row>
    <x:row r="9" ht="30" customHeight="1">
      <x:c r="A9" s="2"/>
      <x:c r="B9" s="29"/>
      <x:c r="C9" s="68"/>
      <x:c r="D9" s="58"/>
      <x:c r="E9" s="106"/>
      <x:c r="F9" s="187"/>
      <x:c r="G9" s="188"/>
      <x:c r="H9" s="59"/>
      <x:c r="I9" s="60"/>
      <x:c r="J9" s="61"/>
      <x:c r="K9" s="34"/>
      <x:c r="L9" s="34"/>
      <x:c r="M9" s="34"/>
      <x:c r="N9" s="34"/>
      <x:c r="O9" s="62">
        <x:f t="shared" si="2"/>
        <x:v>0</x:v>
      </x:c>
      <x:c r="P9" s="63">
        <x:f t="shared" si="3"/>
        <x:v>0</x:v>
      </x:c>
      <x:c r="Q9" s="60">
        <x:f t="shared" si="4"/>
        <x:v>0</x:v>
      </x:c>
      <x:c r="R9" s="64">
        <x:f t="shared" si="5"/>
        <x:v>0</x:v>
      </x:c>
      <x:c r="S9" s="65">
        <x:f t="shared" si="6"/>
        <x:v>0</x:v>
      </x:c>
      <x:c r="T9" s="66">
        <x:f t="shared" si="7"/>
        <x:v>0</x:v>
      </x:c>
      <x:c r="U9" s="67">
        <x:f t="shared" si="8"/>
        <x:v>0</x:v>
      </x:c>
      <x:c r="V9" s="138">
        <x:f t="shared" si="1"/>
        <x:v>0</x:v>
      </x:c>
      <x:c r="W9" s="132"/>
      <x:c r="X9" s="117"/>
      <x:c r="Y9" s="123"/>
      <x:c r="Z9" s="132"/>
      <x:c r="AA9" s="117"/>
      <x:c r="AB9" s="133"/>
      <x:c r="AC9" s="119"/>
      <x:c r="AD9" s="117"/>
      <x:c r="AE9" s="133"/>
    </x:row>
    <x:row r="10" ht="30" customHeight="1">
      <x:c r="A10" s="2"/>
      <x:c r="B10" s="30"/>
      <x:c r="C10" s="68"/>
      <x:c r="D10" s="58"/>
      <x:c r="E10" s="106"/>
      <x:c r="F10" s="187"/>
      <x:c r="G10" s="188"/>
      <x:c r="H10" s="59"/>
      <x:c r="I10" s="62"/>
      <x:c r="J10" s="69"/>
      <x:c r="K10" s="70"/>
      <x:c r="L10" s="70"/>
      <x:c r="M10" s="70"/>
      <x:c r="N10" s="70"/>
      <x:c r="O10" s="62">
        <x:f t="shared" si="2"/>
        <x:v>0</x:v>
      </x:c>
      <x:c r="P10" s="63">
        <x:f t="shared" si="3"/>
        <x:v>0</x:v>
      </x:c>
      <x:c r="Q10" s="60">
        <x:f t="shared" si="4"/>
        <x:v>0</x:v>
      </x:c>
      <x:c r="R10" s="64">
        <x:f t="shared" si="5"/>
        <x:v>0</x:v>
      </x:c>
      <x:c r="S10" s="65">
        <x:f t="shared" si="6"/>
        <x:v>0</x:v>
      </x:c>
      <x:c r="T10" s="66">
        <x:f t="shared" si="7"/>
        <x:v>0</x:v>
      </x:c>
      <x:c r="U10" s="67">
        <x:f t="shared" si="8"/>
        <x:v>0</x:v>
      </x:c>
      <x:c r="V10" s="138">
        <x:f t="shared" si="1"/>
        <x:v>0</x:v>
      </x:c>
      <x:c r="W10" s="132"/>
      <x:c r="X10" s="148"/>
      <x:c r="Y10" s="123"/>
      <x:c r="Z10" s="132"/>
      <x:c r="AA10" s="117"/>
      <x:c r="AB10" s="133"/>
      <x:c r="AC10" s="119"/>
      <x:c r="AD10" s="117"/>
      <x:c r="AE10" s="133"/>
    </x:row>
    <x:row r="11" ht="30" customHeight="1">
      <x:c r="A11" s="2"/>
      <x:c r="B11" s="31"/>
      <x:c r="C11" s="71"/>
      <x:c r="D11" s="72"/>
      <x:c r="E11" s="106"/>
      <x:c r="F11" s="189"/>
      <x:c r="G11" s="190"/>
      <x:c r="H11" s="73"/>
      <x:c r="I11" s="74"/>
      <x:c r="J11" s="75"/>
      <x:c r="K11" s="39"/>
      <x:c r="L11" s="39"/>
      <x:c r="M11" s="39"/>
      <x:c r="N11" s="39"/>
      <x:c r="O11" s="74">
        <x:f t="shared" si="2"/>
        <x:v>0</x:v>
      </x:c>
      <x:c r="P11" s="76">
        <x:f t="shared" si="3"/>
        <x:v>0</x:v>
      </x:c>
      <x:c r="Q11" s="77">
        <x:f t="shared" si="4"/>
        <x:v>0</x:v>
      </x:c>
      <x:c r="R11" s="78">
        <x:f t="shared" si="5"/>
        <x:v>0</x:v>
      </x:c>
      <x:c r="S11" s="65">
        <x:f t="shared" si="6"/>
        <x:v>0</x:v>
      </x:c>
      <x:c r="T11" s="66">
        <x:f t="shared" si="7"/>
        <x:v>0</x:v>
      </x:c>
      <x:c r="U11" s="67">
        <x:f t="shared" si="8"/>
        <x:v>0</x:v>
      </x:c>
      <x:c r="V11" s="138">
        <x:f t="shared" si="1"/>
        <x:v>0</x:v>
      </x:c>
      <x:c r="W11" s="152"/>
      <x:c r="X11" s="153"/>
      <x:c r="Y11" s="151"/>
      <x:c r="Z11" s="152"/>
      <x:c r="AA11" s="153"/>
      <x:c r="AB11" s="154"/>
      <x:c r="AC11" s="155"/>
      <x:c r="AD11" s="153"/>
      <x:c r="AE11" s="154"/>
    </x:row>
    <x:row r="12" ht="30" customHeight="1">
      <x:c r="A12" s="2"/>
      <x:c r="B12" s="32">
        <x:v>2</x:v>
      </x:c>
      <x:c r="C12" s="79">
        <x:v>0.15</x:v>
      </x:c>
      <x:c r="D12" s="58" t="s">
        <x:v>36</x:v>
      </x:c>
      <x:c r="E12" s="106" t="s">
        <x:v>37</x:v>
      </x:c>
      <x:c r="F12" s="187" t="str">
        <x:v>현재 구현 기준 핵심 클래스 분류와 책임 정의</x:v>
      </x:c>
      <x:c r="G12" s="188"/>
      <x:c r="H12" s="59" t="s">
        <x:v>28</x:v>
      </x:c>
      <x:c r="I12" s="60"/>
      <x:c r="J12" s="80" t="s">
        <x:v>38</x:v>
      </x:c>
      <x:c r="K12" s="34">
        <x:v>46302</x:v>
      </x:c>
      <x:c r="L12" s="34">
        <x:v>46302</x:v>
      </x:c>
      <x:c r="M12" s="34" t="n">
        <x:v>46302</x:v>
      </x:c>
      <x:c r="N12" s="34" t="n">
        <x:v>46305</x:v>
      </x:c>
      <x:c r="O12" s="62" t="n">
        <x:f t="shared" ref="O12" si="9">IF(OR(K12="",L12=""),0,L12-K12+1)</x:f>
        <x:v>1</x:v>
      </x:c>
      <x:c r="P12" s="63" t="n">
        <x:f t="shared" ref="P12" si="10">IF(OR(M12="",N12=""),0,N12-M12+1)</x:f>
        <x:v>4</x:v>
      </x:c>
      <x:c r="Q12" s="60" t="n">
        <x:f t="shared" ref="Q12" si="11">IF(O12=0,0,MAX(0,MIN(O12,$L$1-K12+1)))</x:f>
        <x:v>1</x:v>
      </x:c>
      <x:c r="R12" s="64" t="n">
        <x:f t="shared" ref="R12" si="12">IF(P12=0,0,MIN(P12,O12))</x:f>
        <x:v>1</x:v>
      </x:c>
      <x:c r="S12" s="65" t="n">
        <x:f t="shared" si="6">IFERROR(Q12/O12,0)</x:f>
        <x:v>1</x:v>
      </x:c>
      <x:c r="T12" s="66" t="n">
        <x:f t="shared" si="7">IFERROR(R12/O12,0)</x:f>
        <x:v>1</x:v>
      </x:c>
      <x:c r="U12" s="67" t="n">
        <x:f t="shared" si="8">IF(OR(O12=0,R12=0),0,MIN(1,R12/O12))</x:f>
        <x:v>1</x:v>
      </x:c>
      <x:c r="V12" s="138" t="n">
        <x:f t="shared" si="1">U12-S12</x:f>
        <x:v>0</x:v>
      </x:c>
      <x:c r="W12" s="147"/>
      <x:c r="X12" s="145" t="s">
        <x:v>31</x:v>
      </x:c>
      <x:c r="Y12" s="146"/>
      <x:c r="Z12" s="147"/>
      <x:c r="AA12" s="148"/>
      <x:c r="AB12" s="149"/>
      <x:c r="AC12" s="150"/>
      <x:c r="AD12" s="148"/>
      <x:c r="AE12" s="149"/>
    </x:row>
    <x:row r="13" ht="30" customHeight="1">
      <x:c r="A13" s="2"/>
      <x:c r="B13" s="30"/>
      <x:c r="C13" s="81"/>
      <x:c r="D13" s="58"/>
      <x:c r="E13" s="106" t="s">
        <x:v>39</x:v>
      </x:c>
      <x:c r="F13" s="191" t="str">
        <x:v>RoomData, FinishData, EnergyStandardData 설계</x:v>
      </x:c>
      <x:c r="G13" s="192"/>
      <x:c r="H13" s="82"/>
      <x:c r="I13" s="62" t="s">
        <x:v>29</x:v>
      </x:c>
      <x:c r="J13" s="83" t="s">
        <x:v>40</x:v>
      </x:c>
      <x:c r="K13" s="70">
        <x:v>46302</x:v>
      </x:c>
      <x:c r="L13" s="70">
        <x:v>46302</x:v>
      </x:c>
      <x:c r="M13" s="70" t="n">
        <x:v>46302</x:v>
      </x:c>
      <x:c r="N13" s="70" t="n">
        <x:v>46305</x:v>
      </x:c>
      <x:c r="O13" s="62" t="n">
        <x:f t="shared" ref="O13:O15" si="13">IF(OR(K13="",L13=""),0,L13-K13+1)</x:f>
        <x:v>1</x:v>
      </x:c>
      <x:c r="P13" s="63" t="n">
        <x:f t="shared" ref="P13:P15" si="14">IF(OR(M13="",N13=""),0,N13-M13+1)</x:f>
        <x:v>4</x:v>
      </x:c>
      <x:c r="Q13" s="60" t="n">
        <x:f t="shared" ref="Q13:Q15" si="15">IF(O13=0,0,MAX(0,MIN(O13,$L$1-K13+1)))</x:f>
        <x:v>1</x:v>
      </x:c>
      <x:c r="R13" s="64" t="n">
        <x:f t="shared" ref="R13:R15" si="16">IF(P13=0,0,MIN(P13,O13))</x:f>
        <x:v>1</x:v>
      </x:c>
      <x:c r="S13" s="65" t="n">
        <x:f t="shared" si="6">IFERROR(Q13/O13,0)</x:f>
        <x:v>1</x:v>
      </x:c>
      <x:c r="T13" s="66" t="n">
        <x:f t="shared" si="7">IFERROR(R13/O13,0)</x:f>
        <x:v>1</x:v>
      </x:c>
      <x:c r="U13" s="67" t="n">
        <x:f t="shared" si="8">IF(OR(O13=0,R13=0),0,MIN(1,R13/O13))</x:f>
        <x:v>1</x:v>
      </x:c>
      <x:c r="V13" s="138" t="n">
        <x:f t="shared" si="1">U13-S13</x:f>
        <x:v>0</x:v>
      </x:c>
      <x:c r="W13" s="132"/>
      <x:c r="X13" s="118" t="s">
        <x:v>31</x:v>
      </x:c>
      <x:c r="Y13" s="123"/>
      <x:c r="Z13" s="132"/>
      <x:c r="AA13" s="117"/>
      <x:c r="AB13" s="133"/>
      <x:c r="AC13" s="119"/>
      <x:c r="AD13" s="117"/>
      <x:c r="AE13" s="133"/>
    </x:row>
    <x:row r="14" ht="30" customHeight="1">
      <x:c r="A14" s="2"/>
      <x:c r="B14" s="30"/>
      <x:c r="C14" s="81"/>
      <x:c r="D14" s="58"/>
      <x:c r="E14" s="106" t="s">
        <x:v>41</x:v>
      </x:c>
      <x:c r="F14" s="191" t="str">
        <x:v>Player, Interaction, Manager 클래스 설계</x:v>
      </x:c>
      <x:c r="G14" s="192"/>
      <x:c r="H14" s="82"/>
      <x:c r="I14" s="62" t="s">
        <x:v>29</x:v>
      </x:c>
      <x:c r="J14" s="83" t="s">
        <x:v>42</x:v>
      </x:c>
      <x:c r="K14" s="70">
        <x:v>46302</x:v>
      </x:c>
      <x:c r="L14" s="70">
        <x:v>46302</x:v>
      </x:c>
      <x:c r="M14" s="70" t="n">
        <x:v>46302</x:v>
      </x:c>
      <x:c r="N14" s="70" t="n">
        <x:v>46305</x:v>
      </x:c>
      <x:c r="O14" s="62" t="n">
        <x:f t="shared" si="13">IF(OR(K14="",L14=""),0,L14-K14+1)</x:f>
        <x:v>1</x:v>
      </x:c>
      <x:c r="P14" s="63" t="n">
        <x:f t="shared" si="14">IF(OR(M14="",N14=""),0,N14-M14+1)</x:f>
        <x:v>4</x:v>
      </x:c>
      <x:c r="Q14" s="60" t="n">
        <x:f t="shared" si="15">IF(O14=0,0,MAX(0,MIN(O14,$L$1-K14+1)))</x:f>
        <x:v>1</x:v>
      </x:c>
      <x:c r="R14" s="64" t="n">
        <x:f t="shared" si="16">IF(P14=0,0,MIN(P14,O14))</x:f>
        <x:v>1</x:v>
      </x:c>
      <x:c r="S14" s="65" t="n">
        <x:f t="shared" si="6">IFERROR(Q14/O14,0)</x:f>
        <x:v>1</x:v>
      </x:c>
      <x:c r="T14" s="66" t="n">
        <x:f t="shared" si="7">IFERROR(R14/O14,0)</x:f>
        <x:v>1</x:v>
      </x:c>
      <x:c r="U14" s="67" t="n">
        <x:f t="shared" si="8">IF(OR(O14=0,R14=0),0,MIN(1,R14/O14))</x:f>
        <x:v>1</x:v>
      </x:c>
      <x:c r="V14" s="138" t="n">
        <x:f t="shared" si="1">U14-S14</x:f>
        <x:v>0</x:v>
      </x:c>
      <x:c r="W14" s="132"/>
      <x:c r="X14" s="118" t="s">
        <x:v>31</x:v>
      </x:c>
      <x:c r="Y14" s="123"/>
      <x:c r="Z14" s="132"/>
      <x:c r="AA14" s="117"/>
      <x:c r="AB14" s="133"/>
      <x:c r="AC14" s="119"/>
      <x:c r="AD14" s="117"/>
      <x:c r="AE14" s="133"/>
    </x:row>
    <x:row r="15" ht="30" customHeight="1">
      <x:c r="A15" s="2"/>
      <x:c r="B15" s="30"/>
      <x:c r="C15" s="81"/>
      <x:c r="D15" s="58"/>
      <x:c r="E15" s="106" t="s">
        <x:v>43</x:v>
      </x:c>
      <x:c r="F15" s="191" t="str">
        <x:v>UI와 결과 처리 클래스 연계 설계</x:v>
      </x:c>
      <x:c r="G15" s="192"/>
      <x:c r="H15" s="82" t="s">
        <x:v>28</x:v>
      </x:c>
      <x:c r="I15" s="62"/>
      <x:c r="J15" s="83" t="str">
        <x:v>Class Diagram v1.3</x:v>
      </x:c>
      <x:c r="K15" s="70">
        <x:v>46302</x:v>
      </x:c>
      <x:c r="L15" s="70">
        <x:v>46302</x:v>
      </x:c>
      <x:c r="M15" s="70" t="n">
        <x:v>46302</x:v>
      </x:c>
      <x:c r="N15" s="70" t="n">
        <x:v>46305</x:v>
      </x:c>
      <x:c r="O15" s="62" t="n">
        <x:f t="shared" si="13">IF(OR(K15="",L15=""),0,L15-K15+1)</x:f>
        <x:v>1</x:v>
      </x:c>
      <x:c r="P15" s="63" t="n">
        <x:f t="shared" si="14">IF(OR(M15="",N15=""),0,N15-M15+1)</x:f>
        <x:v>4</x:v>
      </x:c>
      <x:c r="Q15" s="60" t="n">
        <x:f t="shared" si="15">IF(O15=0,0,MAX(0,MIN(O15,$L$1-K15+1)))</x:f>
        <x:v>1</x:v>
      </x:c>
      <x:c r="R15" s="64" t="n">
        <x:f t="shared" si="16">IF(P15=0,0,MIN(P15,O15))</x:f>
        <x:v>1</x:v>
      </x:c>
      <x:c r="S15" s="65" t="n">
        <x:f t="shared" si="6">IFERROR(Q15/O15,0)</x:f>
        <x:v>1</x:v>
      </x:c>
      <x:c r="T15" s="66" t="n">
        <x:f t="shared" si="7">IFERROR(R15/O15,0)</x:f>
        <x:v>1</x:v>
      </x:c>
      <x:c r="U15" s="67" t="n">
        <x:f t="shared" si="8">IF(OR(O15=0,R15=0),0,MIN(1,R15/O15))</x:f>
        <x:v>1</x:v>
      </x:c>
      <x:c r="V15" s="138" t="n">
        <x:f t="shared" si="1">U15-S15</x:f>
        <x:v>0</x:v>
      </x:c>
      <x:c r="W15" s="132"/>
      <x:c r="X15" s="118" t="s">
        <x:v>31</x:v>
      </x:c>
      <x:c r="Y15" s="123"/>
      <x:c r="Z15" s="132"/>
      <x:c r="AA15" s="117"/>
      <x:c r="AB15" s="133"/>
      <x:c r="AC15" s="119"/>
      <x:c r="AD15" s="117"/>
      <x:c r="AE15" s="133"/>
    </x:row>
    <x:row r="16" ht="30" customHeight="1">
      <x:c r="A16" s="2"/>
      <x:c r="B16" s="30"/>
      <x:c r="C16" s="81"/>
      <x:c r="D16" s="58"/>
      <x:c r="E16" s="106"/>
      <x:c r="F16" s="191"/>
      <x:c r="G16" s="192"/>
      <x:c r="H16" s="82"/>
      <x:c r="I16" s="62"/>
      <x:c r="J16" s="83"/>
      <x:c r="K16" s="70"/>
      <x:c r="L16" s="70"/>
      <x:c r="M16" s="70"/>
      <x:c r="N16" s="70"/>
      <x:c r="O16" s="60">
        <x:f t="shared" si="2"/>
        <x:v>0</x:v>
      </x:c>
      <x:c r="P16" s="63">
        <x:f t="shared" si="3"/>
        <x:v>0</x:v>
      </x:c>
      <x:c r="Q16" s="62">
        <x:f t="shared" si="4"/>
        <x:v>0</x:v>
      </x:c>
      <x:c r="R16" s="64">
        <x:f t="shared" si="5"/>
        <x:v>0</x:v>
      </x:c>
      <x:c r="S16" s="65">
        <x:f t="shared" si="6"/>
        <x:v>0</x:v>
      </x:c>
      <x:c r="T16" s="66">
        <x:f t="shared" si="7"/>
        <x:v>0</x:v>
      </x:c>
      <x:c r="U16" s="67">
        <x:f t="shared" si="8"/>
        <x:v>0</x:v>
      </x:c>
      <x:c r="V16" s="138">
        <x:f t="shared" si="1"/>
        <x:v>0</x:v>
      </x:c>
      <x:c r="W16" s="147"/>
      <x:c r="X16" s="117"/>
      <x:c r="Y16" s="123"/>
      <x:c r="Z16" s="132"/>
      <x:c r="AA16" s="117"/>
      <x:c r="AB16" s="133"/>
      <x:c r="AC16" s="119"/>
      <x:c r="AD16" s="117"/>
      <x:c r="AE16" s="133"/>
    </x:row>
    <x:row r="17" ht="30" customHeight="1">
      <x:c r="A17" s="2"/>
      <x:c r="B17" s="33"/>
      <x:c r="C17" s="84"/>
      <x:c r="D17" s="72"/>
      <x:c r="E17" s="106"/>
      <x:c r="F17" s="194"/>
      <x:c r="G17" s="195"/>
      <x:c r="H17" s="85"/>
      <x:c r="I17" s="74"/>
      <x:c r="J17" s="86"/>
      <x:c r="K17" s="39"/>
      <x:c r="L17" s="39"/>
      <x:c r="M17" s="39"/>
      <x:c r="N17" s="39"/>
      <x:c r="O17" s="77">
        <x:f t="shared" si="2"/>
        <x:v>0</x:v>
      </x:c>
      <x:c r="P17" s="76">
        <x:f t="shared" si="3"/>
        <x:v>0</x:v>
      </x:c>
      <x:c r="Q17" s="74">
        <x:f t="shared" si="4"/>
        <x:v>0</x:v>
      </x:c>
      <x:c r="R17" s="78">
        <x:f t="shared" si="5"/>
        <x:v>0</x:v>
      </x:c>
      <x:c r="S17" s="65">
        <x:f t="shared" si="6"/>
        <x:v>0</x:v>
      </x:c>
      <x:c r="T17" s="66">
        <x:f t="shared" si="7"/>
        <x:v>0</x:v>
      </x:c>
      <x:c r="U17" s="67">
        <x:f t="shared" si="8"/>
        <x:v>0</x:v>
      </x:c>
      <x:c r="V17" s="138">
        <x:f t="shared" si="1"/>
        <x:v>0</x:v>
      </x:c>
      <x:c r="W17" s="152"/>
      <x:c r="X17" s="153"/>
      <x:c r="Y17" s="151"/>
      <x:c r="Z17" s="152"/>
      <x:c r="AA17" s="153"/>
      <x:c r="AB17" s="154"/>
      <x:c r="AC17" s="155"/>
      <x:c r="AD17" s="153"/>
      <x:c r="AE17" s="154"/>
    </x:row>
    <x:row r="18" ht="30" customHeight="1">
      <x:c r="A18" s="2"/>
      <x:c r="B18" s="30">
        <x:v>3</x:v>
      </x:c>
      <x:c r="C18" s="79">
        <x:v>0.4</x:v>
      </x:c>
      <x:c r="D18" s="58" t="s">
        <x:v>44</x:v>
      </x:c>
      <x:c r="E18" s="106" t="s">
        <x:v>39</x:v>
      </x:c>
      <x:c r="F18" s="196" t="str">
        <x:v>제품 단가, 선언 열저항, 색상 견본 데이터 정리</x:v>
      </x:c>
      <x:c r="G18" s="188"/>
      <x:c r="H18" s="59"/>
      <x:c r="I18" s="60" t="s">
        <x:v>29</x:v>
      </x:c>
      <x:c r="J18" s="80" t="str">
        <x:v>FinishData와 제품 색상 견본</x:v>
      </x:c>
      <x:c r="K18" s="34">
        <x:v>46303</x:v>
      </x:c>
      <x:c r="L18" s="35">
        <x:v>46303</x:v>
      </x:c>
      <x:c r="M18" s="34" t="n">
        <x:v>46303</x:v>
      </x:c>
      <x:c r="N18" s="35" t="n">
        <x:v>46305</x:v>
      </x:c>
      <x:c r="O18" s="62" t="n">
        <x:f t="shared" si="2">IF(OR(K18="",L18=""),0,L18-K18+1)</x:f>
        <x:v>1</x:v>
      </x:c>
      <x:c r="P18" s="63" t="n">
        <x:f t="shared" si="3">IF(OR(M18="",N18=""),0,N18-M18+1)</x:f>
        <x:v>3</x:v>
      </x:c>
      <x:c r="Q18" s="60" t="n">
        <x:f t="shared" si="4">IF(O18=0,0,MAX(0,MIN(O18,$L$1-K18+1)))</x:f>
        <x:v>1</x:v>
      </x:c>
      <x:c r="R18" s="64" t="n">
        <x:f t="shared" si="5">IF(P18=0,0,MIN(P18,O18))</x:f>
        <x:v>1</x:v>
      </x:c>
      <x:c r="S18" s="65" t="n">
        <x:f t="shared" si="6">IFERROR(Q18/O18,0)</x:f>
        <x:v>1</x:v>
      </x:c>
      <x:c r="T18" s="66" t="n">
        <x:f t="shared" si="7">IFERROR(R18/O18,0)</x:f>
        <x:v>1</x:v>
      </x:c>
      <x:c r="U18" s="67" t="n">
        <x:f t="shared" si="8">IF(OR(O18=0,R18=0),0,MIN(1,R18/O18))</x:f>
        <x:v>1</x:v>
      </x:c>
      <x:c r="V18" s="138" t="n">
        <x:f t="shared" si="1">U18-S18</x:f>
        <x:v>0</x:v>
      </x:c>
      <x:c r="W18" s="147"/>
      <x:c r="X18" s="148"/>
      <x:c r="Y18" s="156" t="s">
        <x:v>31</x:v>
      </x:c>
      <x:c r="Z18" s="147"/>
      <x:c r="AA18" s="148"/>
      <x:c r="AB18" s="149"/>
      <x:c r="AC18" s="150"/>
      <x:c r="AD18" s="148"/>
      <x:c r="AE18" s="149"/>
    </x:row>
    <x:row r="19" ht="30" customHeight="1">
      <x:c r="A19" s="2"/>
      <x:c r="B19" s="30"/>
      <x:c r="C19" s="81"/>
      <x:c r="D19" s="58"/>
      <x:c r="E19" s="106" t="s">
        <x:v>39</x:v>
      </x:c>
      <x:c r="F19" s="196" t="str">
        <x:v>IFCE 원본을 사용한 Studio, Two-Room, Three-Room Prefab 구성</x:v>
      </x:c>
      <x:c r="G19" s="188"/>
      <x:c r="H19" s="59" t="s">
        <x:v>28</x:v>
      </x:c>
      <x:c r="I19" s="60"/>
      <x:c r="J19" s="80" t="str">
        <x:v>분석용 Room Prefab 3종</x:v>
      </x:c>
      <x:c r="K19" s="34">
        <x:v>46303</x:v>
      </x:c>
      <x:c r="L19" s="35">
        <x:v>46303</x:v>
      </x:c>
      <x:c r="M19" s="34" t="n">
        <x:v>46303</x:v>
      </x:c>
      <x:c r="N19" s="35" t="n">
        <x:v>46305</x:v>
      </x:c>
      <x:c r="O19" s="62" t="n">
        <x:f t="shared" ref="O19" si="17">IF(OR(K19="",L19=""),0,L19-K19+1)</x:f>
        <x:v>1</x:v>
      </x:c>
      <x:c r="P19" s="63" t="n">
        <x:f t="shared" ref="P19" si="18">IF(OR(M19="",N19=""),0,N19-M19+1)</x:f>
        <x:v>3</x:v>
      </x:c>
      <x:c r="Q19" s="60" t="n">
        <x:f t="shared" ref="Q19" si="19">IF(O19=0,0,MAX(0,MIN(O19,$L$1-K19+1)))</x:f>
        <x:v>1</x:v>
      </x:c>
      <x:c r="R19" s="64" t="n">
        <x:f t="shared" ref="R19" si="20">IF(P19=0,0,MIN(P19,O19))</x:f>
        <x:v>1</x:v>
      </x:c>
      <x:c r="S19" s="65" t="n">
        <x:f t="shared" ref="S19" si="21">IFERROR(Q19/O19,0)</x:f>
        <x:v>1</x:v>
      </x:c>
      <x:c r="T19" s="66" t="n">
        <x:f t="shared" ref="T19" si="22">IFERROR(R19/O19,0)</x:f>
        <x:v>1</x:v>
      </x:c>
      <x:c r="U19" s="67" t="n">
        <x:f t="shared" ref="U19" si="23">IF(OR(O19=0,R19=0),0,MIN(1,R19/O19))</x:f>
        <x:v>1</x:v>
      </x:c>
      <x:c r="V19" s="138" t="n">
        <x:f t="shared" ref="V19" si="24">U19-S19</x:f>
        <x:v>0</x:v>
      </x:c>
      <x:c r="W19" s="147"/>
      <x:c r="X19" s="148"/>
      <x:c r="Y19" s="156" t="s">
        <x:v>31</x:v>
      </x:c>
      <x:c r="Z19" s="147"/>
      <x:c r="AA19" s="148"/>
      <x:c r="AB19" s="149"/>
      <x:c r="AC19" s="150"/>
      <x:c r="AD19" s="148"/>
      <x:c r="AE19" s="149"/>
    </x:row>
    <x:row r="20" ht="30" customHeight="1">
      <x:c r="A20" s="2"/>
      <x:c r="B20" s="30"/>
      <x:c r="C20" s="81"/>
      <x:c r="D20" s="58"/>
      <x:c r="E20" s="106" t="s">
        <x:v>45</x:v>
      </x:c>
      <x:c r="F20" s="196" t="str">
        <x:v>Room Type 선택 UI 기능 구현</x:v>
      </x:c>
      <x:c r="G20" s="188"/>
      <x:c r="H20" s="59"/>
      <x:c r="I20" s="60" t="s">
        <x:v>29</x:v>
      </x:c>
      <x:c r="J20" s="80" t="str">
        <x:v>UI-01 Room 선택 기능</x:v>
      </x:c>
      <x:c r="K20" s="34">
        <x:v>46303</x:v>
      </x:c>
      <x:c r="L20" s="35">
        <x:v>46303</x:v>
      </x:c>
      <x:c r="M20" s="34" t="n">
        <x:v>46303</x:v>
      </x:c>
      <x:c r="N20" s="35" t="n">
        <x:v>46305</x:v>
      </x:c>
      <x:c r="O20" s="62" t="n">
        <x:f t="shared" ref="O20" si="25">IF(OR(K20="",L20=""),0,L20-K20+1)</x:f>
        <x:v>1</x:v>
      </x:c>
      <x:c r="P20" s="63" t="n">
        <x:f t="shared" ref="P20" si="26">IF(OR(M20="",N20=""),0,N20-M20+1)</x:f>
        <x:v>3</x:v>
      </x:c>
      <x:c r="Q20" s="60" t="n">
        <x:f t="shared" ref="Q20" si="27">IF(O20=0,0,MAX(0,MIN(O20,$L$1-K20+1)))</x:f>
        <x:v>1</x:v>
      </x:c>
      <x:c r="R20" s="64" t="n">
        <x:f t="shared" ref="R20" si="28">IF(P20=0,0,MIN(P20,O20))</x:f>
        <x:v>1</x:v>
      </x:c>
      <x:c r="S20" s="65" t="n">
        <x:f t="shared" ref="S20" si="29">IFERROR(Q20/O20,0)</x:f>
        <x:v>1</x:v>
      </x:c>
      <x:c r="T20" s="66" t="n">
        <x:f t="shared" ref="T20" si="30">IFERROR(R20/O20,0)</x:f>
        <x:v>1</x:v>
      </x:c>
      <x:c r="U20" s="67" t="n">
        <x:f t="shared" ref="U20" si="31">IF(OR(O20=0,R20=0),0,MIN(1,R20/O20))</x:f>
        <x:v>1</x:v>
      </x:c>
      <x:c r="V20" s="138" t="n">
        <x:f t="shared" ref="V20" si="32">U20-S20</x:f>
        <x:v>0</x:v>
      </x:c>
      <x:c r="W20" s="147"/>
      <x:c r="X20" s="148"/>
      <x:c r="Y20" s="156" t="s">
        <x:v>31</x:v>
      </x:c>
      <x:c r="Z20" s="147"/>
      <x:c r="AA20" s="148"/>
      <x:c r="AB20" s="149"/>
      <x:c r="AC20" s="150"/>
      <x:c r="AD20" s="148"/>
      <x:c r="AE20" s="149"/>
    </x:row>
    <x:row r="21" ht="30" customHeight="1">
      <x:c r="A21" s="2"/>
      <x:c r="B21" s="30"/>
      <x:c r="C21" s="81"/>
      <x:c r="D21" s="58"/>
      <x:c r="E21" s="106" t="s">
        <x:v>46</x:v>
      </x:c>
      <x:c r="F21" s="193" t="str">
        <x:v>Room Type 3D 표시와 중앙 시작 지점 적용</x:v>
      </x:c>
      <x:c r="G21" s="191"/>
      <x:c r="H21" s="91"/>
      <x:c r="I21" s="92" t="s">
        <x:v>29</x:v>
      </x:c>
      <x:c r="J21" s="93" t="str">
        <x:v>Room Prefab 생성과 시작 지점</x:v>
      </x:c>
      <x:c r="K21" s="34">
        <x:v>46303</x:v>
      </x:c>
      <x:c r="L21" s="35">
        <x:v>46303</x:v>
      </x:c>
      <x:c r="M21" s="34" t="n">
        <x:v>46303</x:v>
      </x:c>
      <x:c r="N21" s="35" t="n">
        <x:v>46305</x:v>
      </x:c>
      <x:c r="O21" s="62" t="n">
        <x:f t="shared" si="2">IF(OR(K21="",L21=""),0,L21-K21+1)</x:f>
        <x:v>1</x:v>
      </x:c>
      <x:c r="P21" s="63" t="n">
        <x:f t="shared" si="3">IF(OR(M21="",N21=""),0,N21-M21+1)</x:f>
        <x:v>3</x:v>
      </x:c>
      <x:c r="Q21" s="60" t="n">
        <x:f t="shared" si="4">IF(O21=0,0,MAX(0,MIN(O21,$L$1-K21+1)))</x:f>
        <x:v>1</x:v>
      </x:c>
      <x:c r="R21" s="64" t="n">
        <x:f t="shared" si="5">IF(P21=0,0,MIN(P21,O21))</x:f>
        <x:v>1</x:v>
      </x:c>
      <x:c r="S21" s="65" t="n">
        <x:f t="shared" ref="S21" si="33">IFERROR(Q21/O21,0)</x:f>
        <x:v>1</x:v>
      </x:c>
      <x:c r="T21" s="66" t="n">
        <x:f t="shared" ref="T21" si="34">IFERROR(R21/O21,0)</x:f>
        <x:v>1</x:v>
      </x:c>
      <x:c r="U21" s="67" t="n">
        <x:f t="shared" ref="U21" si="35">IF(OR(O21=0,R21=0),0,MIN(1,R21/O21))</x:f>
        <x:v>1</x:v>
      </x:c>
      <x:c r="V21" s="138" t="n">
        <x:f t="shared" ref="V21" si="36">U21-S21</x:f>
        <x:v>0</x:v>
      </x:c>
      <x:c r="W21" s="132"/>
      <x:c r="X21" s="117"/>
      <x:c r="Y21" s="124" t="s">
        <x:v>31</x:v>
      </x:c>
      <x:c r="Z21" s="132"/>
      <x:c r="AA21" s="117"/>
      <x:c r="AB21" s="133"/>
      <x:c r="AC21" s="119"/>
      <x:c r="AD21" s="117"/>
      <x:c r="AE21" s="133"/>
    </x:row>
    <x:row r="22" ht="30" customHeight="1">
      <x:c r="A22" s="3"/>
      <x:c r="B22" s="30"/>
      <x:c r="C22" s="81"/>
      <x:c r="D22" s="58"/>
      <x:c r="E22" s="106" t="s">
        <x:v>47</x:v>
      </x:c>
      <x:c r="F22" s="197" t="str">
        <x:v>1인칭 이동과 3D Room 화면 구현</x:v>
      </x:c>
      <x:c r="G22" s="198"/>
      <x:c r="H22" s="88"/>
      <x:c r="I22" s="89" t="s">
        <x:v>29</x:v>
      </x:c>
      <x:c r="J22" s="90" t="str">
        <x:v>PlayerInteraction과 UI-02</x:v>
      </x:c>
      <x:c r="K22" s="34">
        <x:v>46303</x:v>
      </x:c>
      <x:c r="L22" s="35">
        <x:v>46303</x:v>
      </x:c>
      <x:c r="M22" s="34" t="n">
        <x:v>46303</x:v>
      </x:c>
      <x:c r="N22" s="35" t="n">
        <x:v>46305</x:v>
      </x:c>
      <x:c r="O22" s="62" t="n">
        <x:f t="shared" si="2">IF(OR(K22="",L22=""),0,L22-K22+1)</x:f>
        <x:v>1</x:v>
      </x:c>
      <x:c r="P22" s="63" t="n">
        <x:f t="shared" si="3">IF(OR(M22="",N22=""),0,N22-M22+1)</x:f>
        <x:v>3</x:v>
      </x:c>
      <x:c r="Q22" s="60" t="n">
        <x:f t="shared" si="4">IF(O22=0,0,MAX(0,MIN(O22,$L$1-K22+1)))</x:f>
        <x:v>1</x:v>
      </x:c>
      <x:c r="R22" s="64" t="n">
        <x:f t="shared" si="5">IF(P22=0,0,MIN(P22,O22))</x:f>
        <x:v>1</x:v>
      </x:c>
      <x:c r="S22" s="65" t="n">
        <x:f t="shared" ref="S22:S32" si="37">IFERROR(Q22/O22,0)</x:f>
        <x:v>1</x:v>
      </x:c>
      <x:c r="T22" s="66" t="n">
        <x:f t="shared" ref="T22:T32" si="38">IFERROR(R22/O22,0)</x:f>
        <x:v>1</x:v>
      </x:c>
      <x:c r="U22" s="67" t="n">
        <x:f t="shared" ref="U22:U32" si="39">IF(OR(O22=0,R22=0),0,MIN(1,R22/O22))</x:f>
        <x:v>1</x:v>
      </x:c>
      <x:c r="V22" s="138" t="n">
        <x:f t="shared" ref="V22:V32" si="40">U22-S22</x:f>
        <x:v>0</x:v>
      </x:c>
      <x:c r="W22" s="132"/>
      <x:c r="X22" s="121"/>
      <x:c r="Y22" s="125" t="s">
        <x:v>31</x:v>
      </x:c>
      <x:c r="Z22" s="134"/>
      <x:c r="AA22" s="121"/>
      <x:c r="AB22" s="135"/>
      <x:c r="AC22" s="128"/>
      <x:c r="AD22" s="121"/>
      <x:c r="AE22" s="135"/>
    </x:row>
    <x:row r="23" ht="30" customHeight="1">
      <x:c r="A23" s="2"/>
      <x:c r="B23" s="30"/>
      <x:c r="C23" s="81"/>
      <x:c r="D23" s="58"/>
      <x:c r="E23" s="106" t="s">
        <x:v>39</x:v>
      </x:c>
      <x:c r="F23" s="199" t="str">
        <x:v>Room, 제품, 냉난방 기준 데이터 구성</x:v>
      </x:c>
      <x:c r="G23" s="200"/>
      <x:c r="H23" s="168"/>
      <x:c r="I23" s="169" t="s">
        <x:v>29</x:v>
      </x:c>
      <x:c r="J23" s="170" t="str">
        <x:v>ScriptableObject 데이터 에셋</x:v>
      </x:c>
      <x:c r="K23" s="171">
        <x:v>46303</x:v>
      </x:c>
      <x:c r="L23" s="172">
        <x:v>46303</x:v>
      </x:c>
      <x:c r="M23" s="34" t="n">
        <x:v>46303</x:v>
      </x:c>
      <x:c r="N23" s="172" t="n">
        <x:v>46305</x:v>
      </x:c>
      <x:c r="O23" s="62" t="n">
        <x:f t="shared" si="2">IF(OR(K23="",L23=""),0,L23-K23+1)</x:f>
        <x:v>1</x:v>
      </x:c>
      <x:c r="P23" s="63" t="n">
        <x:f t="shared" si="3">IF(OR(M23="",N23=""),0,N23-M23+1)</x:f>
        <x:v>3</x:v>
      </x:c>
      <x:c r="Q23" s="60" t="n">
        <x:f t="shared" si="4">IF(O23=0,0,MAX(0,MIN(O23,$L$1-K23+1)))</x:f>
        <x:v>1</x:v>
      </x:c>
      <x:c r="R23" s="64" t="n">
        <x:f t="shared" si="5">IF(P23=0,0,MIN(P23,O23))</x:f>
        <x:v>1</x:v>
      </x:c>
      <x:c r="S23" s="65" t="n">
        <x:f t="shared" si="37">IFERROR(Q23/O23,0)</x:f>
        <x:v>1</x:v>
      </x:c>
      <x:c r="T23" s="66" t="n">
        <x:f t="shared" si="38">IFERROR(R23/O23,0)</x:f>
        <x:v>1</x:v>
      </x:c>
      <x:c r="U23" s="67" t="n">
        <x:f t="shared" si="39">IF(OR(O23=0,R23=0),0,MIN(1,R23/O23))</x:f>
        <x:v>1</x:v>
      </x:c>
      <x:c r="V23" s="138" t="n">
        <x:f t="shared" si="40">U23-S23</x:f>
        <x:v>0</x:v>
      </x:c>
      <x:c r="W23" s="132"/>
      <x:c r="X23" s="117"/>
      <x:c r="Y23" s="124" t="s">
        <x:v>31</x:v>
      </x:c>
      <x:c r="Z23" s="132"/>
      <x:c r="AA23" s="117"/>
      <x:c r="AB23" s="133"/>
      <x:c r="AC23" s="119"/>
      <x:c r="AD23" s="117"/>
      <x:c r="AE23" s="133"/>
    </x:row>
    <x:row r="24" ht="30" customHeight="1">
      <x:c r="A24" s="2"/>
      <x:c r="B24" s="30"/>
      <x:c r="C24" s="81"/>
      <x:c r="D24" s="58"/>
      <x:c r="E24" s="106" t="str">
        <x:v>FR-04</x:v>
      </x:c>
      <x:c r="F24" s="187" t="str">
        <x:v>벽 제품 전체 변경과 초기화</x:v>
      </x:c>
      <x:c r="G24" s="188"/>
      <x:c r="H24" s="59" t="s">
        <x:v>28</x:v>
      </x:c>
      <x:c r="I24" s="60"/>
      <x:c r="J24" s="80" t="str">
        <x:v>벽 전체 Material 변경</x:v>
      </x:c>
      <x:c r="K24" s="34">
        <x:v>46303</x:v>
      </x:c>
      <x:c r="L24" s="35">
        <x:v>46303</x:v>
      </x:c>
      <x:c r="M24" s="34" t="n">
        <x:v>46303</x:v>
      </x:c>
      <x:c r="N24" s="35" t="n">
        <x:v>46305</x:v>
      </x:c>
      <x:c r="O24" s="62" t="n">
        <x:f t="shared" ref="O24:O46" si="41">IF(OR(K24="",L24=""),0,L24-K24+1)</x:f>
        <x:v>1</x:v>
      </x:c>
      <x:c r="P24" s="63" t="n">
        <x:f t="shared" ref="P24:P46" si="42">IF(OR(M24="",N24=""),0,N24-M24+1)</x:f>
        <x:v>3</x:v>
      </x:c>
      <x:c r="Q24" s="60" t="n">
        <x:f t="shared" ref="Q24:Q46" si="43">IF(O24=0,0,MAX(0,MIN(O24,$L$1-K24+1)))</x:f>
        <x:v>1</x:v>
      </x:c>
      <x:c r="R24" s="64" t="n">
        <x:f t="shared" ref="R24:R46" si="44">IF(P24=0,0,MIN(P24,O24))</x:f>
        <x:v>1</x:v>
      </x:c>
      <x:c r="S24" s="65" t="n">
        <x:f t="shared" si="37">IFERROR(Q24/O24,0)</x:f>
        <x:v>1</x:v>
      </x:c>
      <x:c r="T24" s="66" t="n">
        <x:f t="shared" si="38">IFERROR(R24/O24,0)</x:f>
        <x:v>1</x:v>
      </x:c>
      <x:c r="U24" s="67" t="n">
        <x:f t="shared" si="39">IF(OR(O24=0,R24=0),0,MIN(1,R24/O24))</x:f>
        <x:v>1</x:v>
      </x:c>
      <x:c r="V24" s="138" t="n">
        <x:f t="shared" si="40">U24-S24</x:f>
        <x:v>0</x:v>
      </x:c>
      <x:c r="W24" s="147"/>
      <x:c r="X24" s="148"/>
      <x:c r="Y24" s="156" t="s">
        <x:v>31</x:v>
      </x:c>
      <x:c r="Z24" s="147"/>
      <x:c r="AA24" s="148"/>
      <x:c r="AB24" s="149"/>
      <x:c r="AC24" s="150"/>
      <x:c r="AD24" s="148"/>
      <x:c r="AE24" s="149"/>
    </x:row>
    <x:row r="25" ht="30" customHeight="1">
      <x:c r="A25" s="2"/>
      <x:c r="B25" s="30"/>
      <x:c r="C25" s="81"/>
      <x:c r="D25" s="58"/>
      <x:c r="E25" s="106" t="str">
        <x:v>FR-05</x:v>
      </x:c>
      <x:c r="F25" s="201" t="str">
        <x:v>바닥 제품 전체 변경과 초기화</x:v>
      </x:c>
      <x:c r="G25" s="202"/>
      <x:c r="H25" s="59" t="s">
        <x:v>28</x:v>
      </x:c>
      <x:c r="I25" s="60"/>
      <x:c r="J25" s="107" t="str">
        <x:v>바닥 전체 Material 변경</x:v>
      </x:c>
      <x:c r="K25" s="34">
        <x:v>46303</x:v>
      </x:c>
      <x:c r="L25" s="35">
        <x:v>46303</x:v>
      </x:c>
      <x:c r="M25" s="34" t="n">
        <x:v>46303</x:v>
      </x:c>
      <x:c r="N25" s="38" t="n">
        <x:v>46305</x:v>
      </x:c>
      <x:c r="O25" s="62" t="n">
        <x:f t="shared" si="41">IF(OR(K25="",L25=""),0,L25-K25+1)</x:f>
        <x:v>1</x:v>
      </x:c>
      <x:c r="P25" s="63" t="n">
        <x:f t="shared" si="42">IF(OR(M25="",N25=""),0,N25-M25+1)</x:f>
        <x:v>3</x:v>
      </x:c>
      <x:c r="Q25" s="60" t="n">
        <x:f t="shared" si="43">IF(O25=0,0,MAX(0,MIN(O25,$L$1-K25+1)))</x:f>
        <x:v>1</x:v>
      </x:c>
      <x:c r="R25" s="64" t="n">
        <x:f t="shared" si="44">IF(P25=0,0,MIN(P25,O25))</x:f>
        <x:v>1</x:v>
      </x:c>
      <x:c r="S25" s="65" t="n">
        <x:f t="shared" si="37">IFERROR(Q25/O25,0)</x:f>
        <x:v>1</x:v>
      </x:c>
      <x:c r="T25" s="66" t="n">
        <x:f t="shared" si="38">IFERROR(R25/O25,0)</x:f>
        <x:v>1</x:v>
      </x:c>
      <x:c r="U25" s="67" t="n">
        <x:f t="shared" si="39">IF(OR(O25=0,R25=0),0,MIN(1,R25/O25))</x:f>
        <x:v>1</x:v>
      </x:c>
      <x:c r="V25" s="138" t="n">
        <x:f t="shared" si="40">U25-S25</x:f>
        <x:v>0</x:v>
      </x:c>
      <x:c r="W25" s="132"/>
      <x:c r="X25" s="117"/>
      <x:c r="Y25" s="156" t="s">
        <x:v>31</x:v>
      </x:c>
      <x:c r="Z25" s="132"/>
      <x:c r="AA25" s="117"/>
      <x:c r="AB25" s="133"/>
      <x:c r="AC25" s="119"/>
      <x:c r="AD25" s="117"/>
      <x:c r="AE25" s="133"/>
    </x:row>
    <x:row r="26" ht="30" customHeight="1">
      <x:c r="A26" s="2"/>
      <x:c r="B26" s="30"/>
      <x:c r="C26" s="81"/>
      <x:c r="D26" s="58"/>
      <x:c r="E26" s="106" t="str">
        <x:v>FR-06</x:v>
      </x:c>
      <x:c r="F26" s="201" t="str">
        <x:v>천장 제품 전체 변경과 초기화</x:v>
      </x:c>
      <x:c r="G26" s="202"/>
      <x:c r="H26" s="59" t="s">
        <x:v>28</x:v>
      </x:c>
      <x:c r="I26" s="60"/>
      <x:c r="J26" s="108" t="str">
        <x:v>천장 전체 Material 변경</x:v>
      </x:c>
      <x:c r="K26" s="34">
        <x:v>46303</x:v>
      </x:c>
      <x:c r="L26" s="35">
        <x:v>46303</x:v>
      </x:c>
      <x:c r="M26" s="34" t="n">
        <x:v>46303</x:v>
      </x:c>
      <x:c r="N26" s="38" t="n">
        <x:v>46305</x:v>
      </x:c>
      <x:c r="O26" s="62" t="n">
        <x:f t="shared" si="41">IF(OR(K26="",L26=""),0,L26-K26+1)</x:f>
        <x:v>1</x:v>
      </x:c>
      <x:c r="P26" s="63" t="n">
        <x:f t="shared" si="42">IF(OR(M26="",N26=""),0,N26-M26+1)</x:f>
        <x:v>3</x:v>
      </x:c>
      <x:c r="Q26" s="60" t="n">
        <x:f t="shared" si="43">IF(O26=0,0,MAX(0,MIN(O26,$L$1-K26+1)))</x:f>
        <x:v>1</x:v>
      </x:c>
      <x:c r="R26" s="64" t="n">
        <x:f t="shared" si="44">IF(P26=0,0,MIN(P26,O26))</x:f>
        <x:v>1</x:v>
      </x:c>
      <x:c r="S26" s="65" t="n">
        <x:f t="shared" si="37">IFERROR(Q26/O26,0)</x:f>
        <x:v>1</x:v>
      </x:c>
      <x:c r="T26" s="66" t="n">
        <x:f t="shared" si="38">IFERROR(R26/O26,0)</x:f>
        <x:v>1</x:v>
      </x:c>
      <x:c r="U26" s="67" t="n">
        <x:f t="shared" si="39">IF(OR(O26=0,R26=0),0,MIN(1,R26/O26))</x:f>
        <x:v>1</x:v>
      </x:c>
      <x:c r="V26" s="138" t="n">
        <x:f t="shared" si="40">U26-S26</x:f>
        <x:v>0</x:v>
      </x:c>
      <x:c r="W26" s="132"/>
      <x:c r="X26" s="117"/>
      <x:c r="Y26" s="156" t="s">
        <x:v>31</x:v>
      </x:c>
      <x:c r="Z26" s="132"/>
      <x:c r="AA26" s="117"/>
      <x:c r="AB26" s="133"/>
      <x:c r="AC26" s="119"/>
      <x:c r="AD26" s="117"/>
      <x:c r="AE26" s="133"/>
    </x:row>
    <x:row r="27" ht="30" customHeight="1">
      <x:c r="A27" s="2"/>
      <x:c r="B27" s="30"/>
      <x:c r="C27" s="81"/>
      <x:c r="D27" s="58"/>
      <x:c r="E27" s="106" t="str">
        <x:v>FR-08</x:v>
      </x:c>
      <x:c r="F27" s="201" t="str">
        <x:v>욕실, 화장실, 발코니와 보호 패널 변경 제외</x:v>
      </x:c>
      <x:c r="G27" s="202"/>
      <x:c r="H27" s="59" t="s">
        <x:v>28</x:v>
      </x:c>
      <x:c r="I27" s="60"/>
      <x:c r="J27" s="108" t="str">
        <x:v>제외 공간 보호 설정</x:v>
      </x:c>
      <x:c r="K27" s="34">
        <x:v>46303</x:v>
      </x:c>
      <x:c r="L27" s="35">
        <x:v>46303</x:v>
      </x:c>
      <x:c r="M27" s="34" t="n">
        <x:v>46303</x:v>
      </x:c>
      <x:c r="N27" s="38" t="n">
        <x:v>46305</x:v>
      </x:c>
      <x:c r="O27" s="62" t="n">
        <x:f t="shared" si="41">IF(OR(K27="",L27=""),0,L27-K27+1)</x:f>
        <x:v>1</x:v>
      </x:c>
      <x:c r="P27" s="63" t="n">
        <x:f t="shared" si="42">IF(OR(M27="",N27=""),0,N27-M27+1)</x:f>
        <x:v>3</x:v>
      </x:c>
      <x:c r="Q27" s="60" t="n">
        <x:f t="shared" si="43">IF(O27=0,0,MAX(0,MIN(O27,$L$1-K27+1)))</x:f>
        <x:v>1</x:v>
      </x:c>
      <x:c r="R27" s="64" t="n">
        <x:f t="shared" si="44">IF(P27=0,0,MIN(P27,O27))</x:f>
        <x:v>1</x:v>
      </x:c>
      <x:c r="S27" s="65" t="n">
        <x:f t="shared" si="37">IFERROR(Q27/O27,0)</x:f>
        <x:v>1</x:v>
      </x:c>
      <x:c r="T27" s="66" t="n">
        <x:f t="shared" si="38">IFERROR(R27/O27,0)</x:f>
        <x:v>1</x:v>
      </x:c>
      <x:c r="U27" s="67" t="n">
        <x:f t="shared" si="39">IF(OR(O27=0,R27=0),0,MIN(1,R27/O27))</x:f>
        <x:v>1</x:v>
      </x:c>
      <x:c r="V27" s="138" t="n">
        <x:f t="shared" si="40">U27-S27</x:f>
        <x:v>0</x:v>
      </x:c>
      <x:c r="W27" s="132"/>
      <x:c r="X27" s="117"/>
      <x:c r="Y27" s="156" t="s">
        <x:v>31</x:v>
      </x:c>
      <x:c r="Z27" s="132"/>
      <x:c r="AA27" s="117"/>
      <x:c r="AB27" s="133"/>
      <x:c r="AC27" s="119"/>
      <x:c r="AD27" s="117"/>
      <x:c r="AE27" s="133"/>
    </x:row>
    <x:row r="28" ht="30" customHeight="1">
      <x:c r="A28" s="2"/>
      <x:c r="B28" s="30"/>
      <x:c r="C28" s="81"/>
      <x:c r="D28" s="58"/>
      <x:c r="E28" s="106" t="str">
        <x:v>FR-07</x:v>
      </x:c>
      <x:c r="F28" s="201" t="str">
        <x:v>Window Covering 변경과 초기화</x:v>
      </x:c>
      <x:c r="G28" s="202"/>
      <x:c r="H28" s="59" t="s">
        <x:v>28</x:v>
      </x:c>
      <x:c r="I28" s="60"/>
      <x:c r="J28" s="109" t="str">
        <x:v>블라인드와 커튼 통합 기능</x:v>
      </x:c>
      <x:c r="K28" s="34">
        <x:v>46303</x:v>
      </x:c>
      <x:c r="L28" s="35">
        <x:v>46303</x:v>
      </x:c>
      <x:c r="M28" s="34" t="n">
        <x:v>46303</x:v>
      </x:c>
      <x:c r="N28" s="38" t="n">
        <x:v>46305</x:v>
      </x:c>
      <x:c r="O28" s="62" t="n">
        <x:f t="shared" si="41">IF(OR(K28="",L28=""),0,L28-K28+1)</x:f>
        <x:v>1</x:v>
      </x:c>
      <x:c r="P28" s="63" t="n">
        <x:f t="shared" si="42">IF(OR(M28="",N28=""),0,N28-M28+1)</x:f>
        <x:v>3</x:v>
      </x:c>
      <x:c r="Q28" s="60" t="n">
        <x:f t="shared" si="43">IF(O28=0,0,MAX(0,MIN(O28,$L$1-K28+1)))</x:f>
        <x:v>1</x:v>
      </x:c>
      <x:c r="R28" s="64" t="n">
        <x:f t="shared" si="44">IF(P28=0,0,MIN(P28,O28))</x:f>
        <x:v>1</x:v>
      </x:c>
      <x:c r="S28" s="65" t="n">
        <x:f t="shared" si="37">IFERROR(Q28/O28,0)</x:f>
        <x:v>1</x:v>
      </x:c>
      <x:c r="T28" s="66" t="n">
        <x:f t="shared" si="38">IFERROR(R28/O28,0)</x:f>
        <x:v>1</x:v>
      </x:c>
      <x:c r="U28" s="67" t="n">
        <x:f t="shared" si="39">IF(OR(O28=0,R28=0),0,MIN(1,R28/O28))</x:f>
        <x:v>1</x:v>
      </x:c>
      <x:c r="V28" s="138" t="n">
        <x:f t="shared" si="40">U28-S28</x:f>
        <x:v>0</x:v>
      </x:c>
      <x:c r="W28" s="132"/>
      <x:c r="X28" s="117"/>
      <x:c r="Y28" s="156" t="s">
        <x:v>31</x:v>
      </x:c>
      <x:c r="Z28" s="132"/>
      <x:c r="AA28" s="117"/>
      <x:c r="AB28" s="133"/>
      <x:c r="AC28" s="119"/>
      <x:c r="AD28" s="117"/>
      <x:c r="AE28" s="133"/>
    </x:row>
    <x:row r="29" ht="30" customHeight="1">
      <x:c r="A29" s="2"/>
      <x:c r="B29" s="30"/>
      <x:c r="C29" s="81"/>
      <x:c r="D29" s="58"/>
      <x:c r="E29" s="106" t="s">
        <x:v>48</x:v>
      </x:c>
      <x:c r="F29" s="199" t="str">
        <x:v>선택 제품 색상 견본, 가격, 열저항 표시 UI</x:v>
      </x:c>
      <x:c r="G29" s="200"/>
      <x:c r="H29" s="168" t="s">
        <x:v>28</x:v>
      </x:c>
      <x:c r="I29" s="169"/>
      <x:c r="J29" s="170" t="str">
        <x:v>UI-03 제품 정보 패널</x:v>
      </x:c>
      <x:c r="K29" s="173">
        <x:v>46303</x:v>
      </x:c>
      <x:c r="L29" s="174">
        <x:v>46303</x:v>
      </x:c>
      <x:c r="M29" s="34" t="n">
        <x:v>46303</x:v>
      </x:c>
      <x:c r="N29" s="174" t="n">
        <x:v>46305</x:v>
      </x:c>
      <x:c r="O29" s="62" t="n">
        <x:f t="shared" si="41">IF(OR(K29="",L29=""),0,L29-K29+1)</x:f>
        <x:v>1</x:v>
      </x:c>
      <x:c r="P29" s="63" t="n">
        <x:f t="shared" si="42">IF(OR(M29="",N29=""),0,N29-M29+1)</x:f>
        <x:v>3</x:v>
      </x:c>
      <x:c r="Q29" s="60" t="n">
        <x:f t="shared" si="43">IF(O29=0,0,MAX(0,MIN(O29,$L$1-K29+1)))</x:f>
        <x:v>1</x:v>
      </x:c>
      <x:c r="R29" s="64" t="n">
        <x:f t="shared" si="44">IF(P29=0,0,MIN(P29,O29))</x:f>
        <x:v>1</x:v>
      </x:c>
      <x:c r="S29" s="65" t="n">
        <x:f t="shared" si="37">IFERROR(Q29/O29,0)</x:f>
        <x:v>1</x:v>
      </x:c>
      <x:c r="T29" s="66" t="n">
        <x:f t="shared" si="38">IFERROR(R29/O29,0)</x:f>
        <x:v>1</x:v>
      </x:c>
      <x:c r="U29" s="67" t="n">
        <x:f t="shared" si="39">IF(OR(O29=0,R29=0),0,MIN(1,R29/O29))</x:f>
        <x:v>1</x:v>
      </x:c>
      <x:c r="V29" s="138" t="n">
        <x:f t="shared" si="40">U29-S29</x:f>
        <x:v>0</x:v>
      </x:c>
      <x:c r="W29" s="152"/>
      <x:c r="X29" s="153"/>
      <x:c r="Y29" s="157" t="s">
        <x:v>31</x:v>
      </x:c>
      <x:c r="Z29" s="152"/>
      <x:c r="AA29" s="153"/>
      <x:c r="AB29" s="154"/>
      <x:c r="AC29" s="155"/>
      <x:c r="AD29" s="153"/>
      <x:c r="AE29" s="154"/>
    </x:row>
    <x:row r="30" ht="30" customHeight="1">
      <x:c r="A30" s="2"/>
      <x:c r="B30" s="30"/>
      <x:c r="C30" s="81"/>
      <x:c r="D30" s="58"/>
      <x:c r="E30" s="106" t="s">
        <x:v>49</x:v>
      </x:c>
      <x:c r="F30" s="187" t="str">
        <x:v>제품 구매비 계산과 UI-04 구현, 공사비 제외</x:v>
      </x:c>
      <x:c r="G30" s="188"/>
      <x:c r="H30" s="59"/>
      <x:c r="I30" s="60" t="s">
        <x:v>29</x:v>
      </x:c>
      <x:c r="J30" s="80" t="str">
        <x:v>제품비 견적 모듈과 UI-04</x:v>
      </x:c>
      <x:c r="K30" s="34">
        <x:v>46303</x:v>
      </x:c>
      <x:c r="L30" s="35">
        <x:v>46303</x:v>
      </x:c>
      <x:c r="M30" s="34" t="n">
        <x:v>46303</x:v>
      </x:c>
      <x:c r="N30" s="35" t="n">
        <x:v>46305</x:v>
      </x:c>
      <x:c r="O30" s="62" t="n">
        <x:f t="shared" si="41">IF(OR(K30="",L30=""),0,L30-K30+1)</x:f>
        <x:v>1</x:v>
      </x:c>
      <x:c r="P30" s="63" t="n">
        <x:f t="shared" si="42">IF(OR(M30="",N30=""),0,N30-M30+1)</x:f>
        <x:v>3</x:v>
      </x:c>
      <x:c r="Q30" s="60" t="n">
        <x:f t="shared" si="43">IF(O30=0,0,MAX(0,MIN(O30,$L$1-K30+1)))</x:f>
        <x:v>1</x:v>
      </x:c>
      <x:c r="R30" s="64" t="n">
        <x:f t="shared" si="44">IF(P30=0,0,MIN(P30,O30))</x:f>
        <x:v>1</x:v>
      </x:c>
      <x:c r="S30" s="65" t="n">
        <x:f t="shared" si="37">IFERROR(Q30/O30,0)</x:f>
        <x:v>1</x:v>
      </x:c>
      <x:c r="T30" s="66" t="n">
        <x:f t="shared" si="38">IFERROR(R30/O30,0)</x:f>
        <x:v>1</x:v>
      </x:c>
      <x:c r="U30" s="67" t="n">
        <x:f t="shared" si="39">IF(OR(O30=0,R30=0),0,MIN(1,R30/O30))</x:f>
        <x:v>1</x:v>
      </x:c>
      <x:c r="V30" s="138" t="n">
        <x:f t="shared" si="40">U30-S30</x:f>
        <x:v>0</x:v>
      </x:c>
      <x:c r="W30" s="147"/>
      <x:c r="X30" s="148"/>
      <x:c r="Y30" s="156" t="s">
        <x:v>31</x:v>
      </x:c>
      <x:c r="Z30" s="147"/>
      <x:c r="AA30" s="148"/>
      <x:c r="AB30" s="149"/>
      <x:c r="AC30" s="150"/>
      <x:c r="AD30" s="148"/>
      <x:c r="AE30" s="149"/>
    </x:row>
    <x:row r="31" ht="30" customHeight="1">
      <x:c r="A31" s="2"/>
      <x:c r="B31" s="30"/>
      <x:c r="C31" s="81"/>
      <x:c r="D31" s="58"/>
      <x:c r="E31" s="106" t="str">
        <x:v>FR-04~08</x:v>
      </x:c>
      <x:c r="F31" s="193" t="str">
        <x:v>중앙 Crosshair와 Raycast 탐지 구현</x:v>
      </x:c>
      <x:c r="G31" s="191"/>
      <x:c r="H31" s="82"/>
      <x:c r="I31" s="62" t="s">
        <x:v>29</x:v>
      </x:c>
      <x:c r="J31" s="83" t="str">
        <x:v>Raycast 상호작용 기본 구조</x:v>
      </x:c>
      <x:c r="K31" s="34">
        <x:v>46307</x:v>
      </x:c>
      <x:c r="L31" s="35">
        <x:v>46307</x:v>
      </x:c>
      <x:c r="M31" s="34" t="n">
        <x:v>46304</x:v>
      </x:c>
      <x:c r="N31" s="35" t="n">
        <x:v>46305</x:v>
      </x:c>
      <x:c r="O31" s="62" t="n">
        <x:f t="shared" si="41">IF(OR(K31="",L31=""),0,L31-K31+1)</x:f>
        <x:v>1</x:v>
      </x:c>
      <x:c r="P31" s="63" t="n">
        <x:f t="shared" si="42">IF(OR(M31="",N31=""),0,N31-M31+1)</x:f>
        <x:v>2</x:v>
      </x:c>
      <x:c r="Q31" s="60" t="n">
        <x:f t="shared" si="43">IF(O31=0,0,MAX(0,MIN(O31,$L$1-K31+1)))</x:f>
        <x:v>0</x:v>
      </x:c>
      <x:c r="R31" s="64" t="n">
        <x:f t="shared" si="44">IF(P31=0,0,MIN(P31,O31))</x:f>
        <x:v>1</x:v>
      </x:c>
      <x:c r="S31" s="65" t="n">
        <x:f t="shared" si="37">IFERROR(Q31/O31,0)</x:f>
        <x:v>0</x:v>
      </x:c>
      <x:c r="T31" s="66" t="n">
        <x:f t="shared" si="38">IFERROR(R31/O31,0)</x:f>
        <x:v>1</x:v>
      </x:c>
      <x:c r="U31" s="67" t="n">
        <x:f t="shared" si="39">IF(OR(O31=0,R31=0),0,MIN(1,R31/O31))</x:f>
        <x:v>1</x:v>
      </x:c>
      <x:c r="V31" s="138" t="n">
        <x:f t="shared" si="40">U31-S31</x:f>
        <x:v>1</x:v>
      </x:c>
      <x:c r="W31" s="132"/>
      <x:c r="X31" s="117"/>
      <x:c r="Y31" s="124"/>
      <x:c r="Z31" s="136"/>
      <x:c r="AA31" s="117"/>
      <x:c r="AB31" s="137"/>
      <x:c r="AC31" s="129" t="s">
        <x:v>31</x:v>
      </x:c>
      <x:c r="AD31" s="117"/>
      <x:c r="AE31" s="133"/>
    </x:row>
    <x:row r="32" ht="30" customHeight="1">
      <x:c r="A32" s="2"/>
      <x:c r="B32" s="30"/>
      <x:c r="C32" s="81"/>
      <x:c r="D32" s="58"/>
      <x:c r="E32" s="106" t="s">
        <x:v>50</x:v>
      </x:c>
      <x:c r="F32" s="193" t="str">
        <x:v>벽 카테고리 전체 변경 기능 구현</x:v>
      </x:c>
      <x:c r="G32" s="191"/>
      <x:c r="H32" s="82"/>
      <x:c r="I32" s="62" t="s">
        <x:v>29</x:v>
      </x:c>
      <x:c r="J32" s="83" t="str">
        <x:v>벽 전체 Material 변경</x:v>
      </x:c>
      <x:c r="K32" s="34">
        <x:v>46307</x:v>
      </x:c>
      <x:c r="L32" s="35">
        <x:v>46307</x:v>
      </x:c>
      <x:c r="M32" s="34" t="n">
        <x:v>46304</x:v>
      </x:c>
      <x:c r="N32" s="35" t="n">
        <x:v>46305</x:v>
      </x:c>
      <x:c r="O32" s="62" t="n">
        <x:f t="shared" si="41">IF(OR(K32="",L32=""),0,L32-K32+1)</x:f>
        <x:v>1</x:v>
      </x:c>
      <x:c r="P32" s="63" t="n">
        <x:f t="shared" si="42">IF(OR(M32="",N32=""),0,N32-M32+1)</x:f>
        <x:v>2</x:v>
      </x:c>
      <x:c r="Q32" s="60" t="n">
        <x:f t="shared" si="43">IF(O32=0,0,MAX(0,MIN(O32,$L$1-K32+1)))</x:f>
        <x:v>0</x:v>
      </x:c>
      <x:c r="R32" s="64" t="n">
        <x:f t="shared" si="44">IF(P32=0,0,MIN(P32,O32))</x:f>
        <x:v>1</x:v>
      </x:c>
      <x:c r="S32" s="65" t="n">
        <x:f t="shared" si="37">IFERROR(Q32/O32,0)</x:f>
        <x:v>0</x:v>
      </x:c>
      <x:c r="T32" s="66" t="n">
        <x:f t="shared" si="38">IFERROR(R32/O32,0)</x:f>
        <x:v>1</x:v>
      </x:c>
      <x:c r="U32" s="67" t="n">
        <x:f t="shared" si="39">IF(OR(O32=0,R32=0),0,MIN(1,R32/O32))</x:f>
        <x:v>1</x:v>
      </x:c>
      <x:c r="V32" s="138" t="n">
        <x:f t="shared" si="40">U32-S32</x:f>
        <x:v>1</x:v>
      </x:c>
      <x:c r="W32" s="132"/>
      <x:c r="X32" s="117"/>
      <x:c r="Y32" s="124"/>
      <x:c r="Z32" s="136"/>
      <x:c r="AA32" s="120"/>
      <x:c r="AB32" s="137"/>
      <x:c r="AC32" s="129" t="s">
        <x:v>31</x:v>
      </x:c>
      <x:c r="AD32" s="120"/>
      <x:c r="AE32" s="133"/>
    </x:row>
    <x:row r="33" ht="30" customHeight="1">
      <x:c r="A33" s="2"/>
      <x:c r="B33" s="30"/>
      <x:c r="C33" s="81"/>
      <x:c r="D33" s="58"/>
      <x:c r="E33" s="106" t="s">
        <x:v>51</x:v>
      </x:c>
      <x:c r="F33" s="193" t="str">
        <x:v>바닥 카테고리 전체 변경 기능 구현</x:v>
      </x:c>
      <x:c r="G33" s="191"/>
      <x:c r="H33" s="82"/>
      <x:c r="I33" s="62" t="s">
        <x:v>29</x:v>
      </x:c>
      <x:c r="J33" s="83" t="str">
        <x:v>바닥 전체 Material 변경</x:v>
      </x:c>
      <x:c r="K33" s="34">
        <x:v>46307</x:v>
      </x:c>
      <x:c r="L33" s="35">
        <x:v>46307</x:v>
      </x:c>
      <x:c r="M33" s="34" t="n">
        <x:v>46304</x:v>
      </x:c>
      <x:c r="N33" s="35" t="n">
        <x:v>46305</x:v>
      </x:c>
      <x:c r="O33" s="62" t="n">
        <x:f t="shared" si="41">IF(OR(K33="",L33=""),0,L33-K33+1)</x:f>
        <x:v>1</x:v>
      </x:c>
      <x:c r="P33" s="63" t="n">
        <x:f t="shared" si="42">IF(OR(M33="",N33=""),0,N33-M33+1)</x:f>
        <x:v>2</x:v>
      </x:c>
      <x:c r="Q33" s="60" t="n">
        <x:f t="shared" si="43">IF(O33=0,0,MAX(0,MIN(O33,$L$1-K33+1)))</x:f>
        <x:v>0</x:v>
      </x:c>
      <x:c r="R33" s="64" t="n">
        <x:f t="shared" si="44">IF(P33=0,0,MIN(P33,O33))</x:f>
        <x:v>1</x:v>
      </x:c>
      <x:c r="S33" s="65" t="n">
        <x:f t="shared" si="6">IFERROR(Q33/O33,0)</x:f>
        <x:v>0</x:v>
      </x:c>
      <x:c r="T33" s="66" t="n">
        <x:f t="shared" si="7">IFERROR(R33/O33,0)</x:f>
        <x:v>1</x:v>
      </x:c>
      <x:c r="U33" s="67" t="n">
        <x:f t="shared" si="8">IF(OR(O33=0,R33=0),0,MIN(1,R33/O33))</x:f>
        <x:v>1</x:v>
      </x:c>
      <x:c r="V33" s="138" t="n">
        <x:f t="shared" si="1">U33-S33</x:f>
        <x:v>1</x:v>
      </x:c>
      <x:c r="W33" s="132"/>
      <x:c r="X33" s="117"/>
      <x:c r="Y33" s="123"/>
      <x:c r="Z33" s="136"/>
      <x:c r="AA33" s="117"/>
      <x:c r="AB33" s="137"/>
      <x:c r="AC33" s="129" t="s">
        <x:v>31</x:v>
      </x:c>
      <x:c r="AD33" s="117"/>
      <x:c r="AE33" s="137"/>
    </x:row>
    <x:row r="34" ht="30" customHeight="1">
      <x:c r="A34" s="2"/>
      <x:c r="B34" s="30"/>
      <x:c r="C34" s="81"/>
      <x:c r="D34" s="58"/>
      <x:c r="E34" s="106" t="s">
        <x:v>52</x:v>
      </x:c>
      <x:c r="F34" s="193" t="str">
        <x:v>천장 카테고리 전체 변경 기능 구현</x:v>
      </x:c>
      <x:c r="G34" s="191"/>
      <x:c r="H34" s="88"/>
      <x:c r="I34" s="62" t="s">
        <x:v>29</x:v>
      </x:c>
      <x:c r="J34" s="90" t="str">
        <x:v>천장 전체 Material 변경</x:v>
      </x:c>
      <x:c r="K34" s="34">
        <x:v>46307</x:v>
      </x:c>
      <x:c r="L34" s="35">
        <x:v>46307</x:v>
      </x:c>
      <x:c r="M34" s="34" t="n">
        <x:v>46304</x:v>
      </x:c>
      <x:c r="N34" s="35" t="n">
        <x:v>46305</x:v>
      </x:c>
      <x:c r="O34" s="62" t="n">
        <x:f t="shared" si="41">IF(OR(K34="",L34=""),0,L34-K34+1)</x:f>
        <x:v>1</x:v>
      </x:c>
      <x:c r="P34" s="63" t="n">
        <x:f t="shared" si="42">IF(OR(M34="",N34=""),0,N34-M34+1)</x:f>
        <x:v>2</x:v>
      </x:c>
      <x:c r="Q34" s="60" t="n">
        <x:f t="shared" si="43">IF(O34=0,0,MAX(0,MIN(O34,$L$1-K34+1)))</x:f>
        <x:v>0</x:v>
      </x:c>
      <x:c r="R34" s="64" t="n">
        <x:f t="shared" si="44">IF(P34=0,0,MIN(P34,O34))</x:f>
        <x:v>1</x:v>
      </x:c>
      <x:c r="S34" s="65" t="n">
        <x:f t="shared" ref="S34:S47" si="45">IFERROR(Q34/O34,0)</x:f>
        <x:v>0</x:v>
      </x:c>
      <x:c r="T34" s="66" t="n">
        <x:f t="shared" ref="T34:T47" si="46">IFERROR(R34/O34,0)</x:f>
        <x:v>1</x:v>
      </x:c>
      <x:c r="U34" s="67" t="n">
        <x:f t="shared" ref="U34:U47" si="47">IF(OR(O34=0,R34=0),0,MIN(1,R34/O34))</x:f>
        <x:v>1</x:v>
      </x:c>
      <x:c r="V34" s="138" t="n">
        <x:f t="shared" ref="V34:V47" si="48">U34-S34</x:f>
        <x:v>1</x:v>
      </x:c>
      <x:c r="W34" s="132"/>
      <x:c r="X34" s="117"/>
      <x:c r="Y34" s="123"/>
      <x:c r="Z34" s="136"/>
      <x:c r="AA34" s="117"/>
      <x:c r="AB34" s="137"/>
      <x:c r="AC34" s="129" t="s">
        <x:v>31</x:v>
      </x:c>
      <x:c r="AD34" s="117"/>
      <x:c r="AE34" s="137"/>
    </x:row>
    <x:row r="35" ht="30" customHeight="1">
      <x:c r="A35" s="2"/>
      <x:c r="B35" s="30"/>
      <x:c r="C35" s="81"/>
      <x:c r="D35" s="58"/>
      <x:c r="E35" s="106" t="str">
        <x:v>FR-07</x:v>
      </x:c>
      <x:c r="F35" s="193" t="str">
        <x:v>Window Covering 모델 변경 기능 구현</x:v>
      </x:c>
      <x:c r="G35" s="191"/>
      <x:c r="H35" s="88"/>
      <x:c r="I35" s="62" t="s">
        <x:v>29</x:v>
      </x:c>
      <x:c r="J35" s="90" t="str">
        <x:v>블라인드와 커튼 visualPrefab 변경</x:v>
      </x:c>
      <x:c r="K35" s="34">
        <x:v>46307</x:v>
      </x:c>
      <x:c r="L35" s="35">
        <x:v>46307</x:v>
      </x:c>
      <x:c r="M35" s="34" t="n">
        <x:v>46304</x:v>
      </x:c>
      <x:c r="N35" s="35" t="n">
        <x:v>46305</x:v>
      </x:c>
      <x:c r="O35" s="62" t="n">
        <x:f t="shared" si="41">IF(OR(K35="",L35=""),0,L35-K35+1)</x:f>
        <x:v>1</x:v>
      </x:c>
      <x:c r="P35" s="63" t="n">
        <x:f t="shared" si="42">IF(OR(M35="",N35=""),0,N35-M35+1)</x:f>
        <x:v>2</x:v>
      </x:c>
      <x:c r="Q35" s="60" t="n">
        <x:f t="shared" si="43">IF(O35=0,0,MAX(0,MIN(O35,$L$1-K35+1)))</x:f>
        <x:v>0</x:v>
      </x:c>
      <x:c r="R35" s="64" t="n">
        <x:f t="shared" si="44">IF(P35=0,0,MIN(P35,O35))</x:f>
        <x:v>1</x:v>
      </x:c>
      <x:c r="S35" s="65" t="n">
        <x:f t="shared" si="45">IFERROR(Q35/O35,0)</x:f>
        <x:v>0</x:v>
      </x:c>
      <x:c r="T35" s="66" t="n">
        <x:f t="shared" si="46">IFERROR(R35/O35,0)</x:f>
        <x:v>1</x:v>
      </x:c>
      <x:c r="U35" s="67" t="n">
        <x:f t="shared" si="47">IF(OR(O35=0,R35=0),0,MIN(1,R35/O35))</x:f>
        <x:v>1</x:v>
      </x:c>
      <x:c r="V35" s="138" t="n">
        <x:f t="shared" si="48">U35-S35</x:f>
        <x:v>1</x:v>
      </x:c>
      <x:c r="W35" s="132"/>
      <x:c r="X35" s="117"/>
      <x:c r="Y35" s="123"/>
      <x:c r="Z35" s="136"/>
      <x:c r="AA35" s="117"/>
      <x:c r="AB35" s="137"/>
      <x:c r="AC35" s="129" t="s">
        <x:v>31</x:v>
      </x:c>
      <x:c r="AD35" s="117"/>
      <x:c r="AE35" s="137"/>
    </x:row>
    <x:row r="36" ht="30" customHeight="1">
      <x:c r="A36" s="2"/>
      <x:c r="B36" s="30"/>
      <x:c r="C36" s="81"/>
      <x:c r="D36" s="58"/>
      <x:c r="E36" s="106" t="str">
        <x:v>FR-08</x:v>
      </x:c>
      <x:c r="F36" s="193" t="str">
        <x:v>제외 공간과 보호 패널의 FinishTarget 분리</x:v>
      </x:c>
      <x:c r="G36" s="191"/>
      <x:c r="H36" s="88"/>
      <x:c r="I36" s="62" t="s">
        <x:v>29</x:v>
      </x:c>
      <x:c r="J36" s="90" t="str">
        <x:v>변경 제외 대상 설정</x:v>
      </x:c>
      <x:c r="K36" s="34">
        <x:v>46307</x:v>
      </x:c>
      <x:c r="L36" s="35">
        <x:v>46307</x:v>
      </x:c>
      <x:c r="M36" s="34" t="n">
        <x:v>46304</x:v>
      </x:c>
      <x:c r="N36" s="35" t="n">
        <x:v>46305</x:v>
      </x:c>
      <x:c r="O36" s="62" t="n">
        <x:f t="shared" si="41">IF(OR(K36="",L36=""),0,L36-K36+1)</x:f>
        <x:v>1</x:v>
      </x:c>
      <x:c r="P36" s="63" t="n">
        <x:f t="shared" si="42">IF(OR(M36="",N36=""),0,N36-M36+1)</x:f>
        <x:v>2</x:v>
      </x:c>
      <x:c r="Q36" s="60" t="n">
        <x:f t="shared" si="43">IF(O36=0,0,MAX(0,MIN(O36,$L$1-K36+1)))</x:f>
        <x:v>0</x:v>
      </x:c>
      <x:c r="R36" s="64" t="n">
        <x:f t="shared" si="44">IF(P36=0,0,MIN(P36,O36))</x:f>
        <x:v>1</x:v>
      </x:c>
      <x:c r="S36" s="65" t="n">
        <x:f t="shared" si="45">IFERROR(Q36/O36,0)</x:f>
        <x:v>0</x:v>
      </x:c>
      <x:c r="T36" s="66" t="n">
        <x:f t="shared" si="46">IFERROR(R36/O36,0)</x:f>
        <x:v>1</x:v>
      </x:c>
      <x:c r="U36" s="67" t="n">
        <x:f t="shared" si="47">IF(OR(O36=0,R36=0),0,MIN(1,R36/O36))</x:f>
        <x:v>1</x:v>
      </x:c>
      <x:c r="V36" s="138" t="n">
        <x:f t="shared" si="48">U36-S36</x:f>
        <x:v>1</x:v>
      </x:c>
      <x:c r="W36" s="132"/>
      <x:c r="X36" s="117"/>
      <x:c r="Y36" s="123"/>
      <x:c r="Z36" s="136"/>
      <x:c r="AA36" s="117"/>
      <x:c r="AB36" s="137"/>
      <x:c r="AC36" s="129" t="s">
        <x:v>31</x:v>
      </x:c>
      <x:c r="AD36" s="117"/>
      <x:c r="AE36" s="137"/>
    </x:row>
    <x:row r="37" ht="30" customHeight="1">
      <x:c r="A37" s="2"/>
      <x:c r="B37" s="30"/>
      <x:c r="C37" s="81"/>
      <x:c r="D37" s="58"/>
      <x:c r="E37" s="106" t="str">
        <x:v>FR-04~08</x:v>
      </x:c>
      <x:c r="F37" s="193" t="str">
        <x:v>좌클릭 다음 제품, 우클릭 초기화 구현</x:v>
      </x:c>
      <x:c r="G37" s="191"/>
      <x:c r="H37" s="88"/>
      <x:c r="I37" s="62" t="s">
        <x:v>29</x:v>
      </x:c>
      <x:c r="J37" s="90" t="str">
        <x:v>FinishTarget 상호작용</x:v>
      </x:c>
      <x:c r="K37" s="34">
        <x:v>46307</x:v>
      </x:c>
      <x:c r="L37" s="35">
        <x:v>46307</x:v>
      </x:c>
      <x:c r="M37" s="34" t="n">
        <x:v>46304</x:v>
      </x:c>
      <x:c r="N37" s="35" t="n">
        <x:v>46305</x:v>
      </x:c>
      <x:c r="O37" s="62" t="n">
        <x:f t="shared" si="41">IF(OR(K37="",L37=""),0,L37-K37+1)</x:f>
        <x:v>1</x:v>
      </x:c>
      <x:c r="P37" s="63" t="n">
        <x:f t="shared" si="42">IF(OR(M37="",N37=""),0,N37-M37+1)</x:f>
        <x:v>2</x:v>
      </x:c>
      <x:c r="Q37" s="60" t="n">
        <x:f t="shared" si="43">IF(O37=0,0,MAX(0,MIN(O37,$L$1-K37+1)))</x:f>
        <x:v>0</x:v>
      </x:c>
      <x:c r="R37" s="64" t="n">
        <x:f t="shared" si="44">IF(P37=0,0,MIN(P37,O37))</x:f>
        <x:v>1</x:v>
      </x:c>
      <x:c r="S37" s="65" t="n">
        <x:f t="shared" si="45">IFERROR(Q37/O37,0)</x:f>
        <x:v>0</x:v>
      </x:c>
      <x:c r="T37" s="66" t="n">
        <x:f t="shared" si="46">IFERROR(R37/O37,0)</x:f>
        <x:v>1</x:v>
      </x:c>
      <x:c r="U37" s="67" t="n">
        <x:f t="shared" si="47">IF(OR(O37=0,R37=0),0,MIN(1,R37/O37))</x:f>
        <x:v>1</x:v>
      </x:c>
      <x:c r="V37" s="138" t="n">
        <x:f t="shared" si="48">U37-S37</x:f>
        <x:v>1</x:v>
      </x:c>
      <x:c r="W37" s="132"/>
      <x:c r="X37" s="117"/>
      <x:c r="Y37" s="123"/>
      <x:c r="Z37" s="136"/>
      <x:c r="AA37" s="117"/>
      <x:c r="AB37" s="137"/>
      <x:c r="AC37" s="129" t="s">
        <x:v>31</x:v>
      </x:c>
      <x:c r="AD37" s="117"/>
      <x:c r="AE37" s="137"/>
    </x:row>
    <x:row r="38" ht="30" customHeight="1">
      <x:c r="A38" s="2"/>
      <x:c r="B38" s="30"/>
      <x:c r="C38" s="81"/>
      <x:c r="D38" s="58"/>
      <x:c r="E38" s="106" t="str">
        <x:v>UI-03</x:v>
      </x:c>
      <x:c r="F38" s="193" t="str">
        <x:v>현재 선택 제품명과 상세 정보 표시 구현</x:v>
      </x:c>
      <x:c r="G38" s="191"/>
      <x:c r="H38" s="88"/>
      <x:c r="I38" s="62" t="s">
        <x:v>29</x:v>
      </x:c>
      <x:c r="J38" s="90" t="str">
        <x:v>UI-03 제품 정보 표시</x:v>
      </x:c>
      <x:c r="K38" s="34">
        <x:v>46307</x:v>
      </x:c>
      <x:c r="L38" s="35">
        <x:v>46307</x:v>
      </x:c>
      <x:c r="M38" s="34" t="n">
        <x:v>46304</x:v>
      </x:c>
      <x:c r="N38" s="35" t="n">
        <x:v>46305</x:v>
      </x:c>
      <x:c r="O38" s="62" t="n">
        <x:f t="shared" si="41">IF(OR(K38="",L38=""),0,L38-K38+1)</x:f>
        <x:v>1</x:v>
      </x:c>
      <x:c r="P38" s="63" t="n">
        <x:f t="shared" si="42">IF(OR(M38="",N38=""),0,N38-M38+1)</x:f>
        <x:v>2</x:v>
      </x:c>
      <x:c r="Q38" s="60" t="n">
        <x:f t="shared" si="43">IF(O38=0,0,MAX(0,MIN(O38,$L$1-K38+1)))</x:f>
        <x:v>0</x:v>
      </x:c>
      <x:c r="R38" s="64" t="n">
        <x:f t="shared" si="44">IF(P38=0,0,MIN(P38,O38))</x:f>
        <x:v>1</x:v>
      </x:c>
      <x:c r="S38" s="65" t="n">
        <x:f t="shared" si="45">IFERROR(Q38/O38,0)</x:f>
        <x:v>0</x:v>
      </x:c>
      <x:c r="T38" s="66" t="n">
        <x:f t="shared" si="46">IFERROR(R38/O38,0)</x:f>
        <x:v>1</x:v>
      </x:c>
      <x:c r="U38" s="67" t="n">
        <x:f t="shared" si="47">IF(OR(O38=0,R38=0),0,MIN(1,R38/O38))</x:f>
        <x:v>1</x:v>
      </x:c>
      <x:c r="V38" s="138" t="n">
        <x:f t="shared" si="48">U38-S38</x:f>
        <x:v>1</x:v>
      </x:c>
      <x:c r="W38" s="132"/>
      <x:c r="X38" s="117"/>
      <x:c r="Y38" s="123"/>
      <x:c r="Z38" s="136"/>
      <x:c r="AA38" s="117"/>
      <x:c r="AB38" s="137"/>
      <x:c r="AC38" s="129" t="s">
        <x:v>31</x:v>
      </x:c>
      <x:c r="AD38" s="117"/>
      <x:c r="AE38" s="137"/>
    </x:row>
    <x:row r="39" ht="30" customHeight="1">
      <x:c r="A39" s="2"/>
      <x:c r="B39" s="30"/>
      <x:c r="C39" s="81"/>
      <x:c r="D39" s="58"/>
      <x:c r="E39" s="106" t="s">
        <x:v>53</x:v>
      </x:c>
      <x:c r="F39" s="193" t="str">
        <x:v>비교 제품과 선택 제품의 선언 열저항 직접 비교 구현</x:v>
      </x:c>
      <x:c r="G39" s="191"/>
      <x:c r="H39" s="88"/>
      <x:c r="I39" s="62" t="s">
        <x:v>29</x:v>
      </x:c>
      <x:c r="J39" s="90" t="str">
        <x:v>제품 열저항 비교 기능</x:v>
      </x:c>
      <x:c r="K39" s="34">
        <x:v>46307</x:v>
      </x:c>
      <x:c r="L39" s="35">
        <x:v>46307</x:v>
      </x:c>
      <x:c r="M39" s="34" t="n">
        <x:v>46305</x:v>
      </x:c>
      <x:c r="N39" s="35" t="n">
        <x:v>46305</x:v>
      </x:c>
      <x:c r="O39" s="62" t="n">
        <x:f t="shared" si="41">IF(OR(K39="",L39=""),0,L39-K39+1)</x:f>
        <x:v>1</x:v>
      </x:c>
      <x:c r="P39" s="63" t="n">
        <x:f t="shared" si="42">IF(OR(M39="",N39=""),0,N39-M39+1)</x:f>
        <x:v>1</x:v>
      </x:c>
      <x:c r="Q39" s="60" t="n">
        <x:f t="shared" si="43">IF(O39=0,0,MAX(0,MIN(O39,$L$1-K39+1)))</x:f>
        <x:v>0</x:v>
      </x:c>
      <x:c r="R39" s="64" t="n">
        <x:f t="shared" si="44">IF(P39=0,0,MIN(P39,O39))</x:f>
        <x:v>1</x:v>
      </x:c>
      <x:c r="S39" s="65" t="n">
        <x:f t="shared" si="45">IFERROR(Q39/O39,0)</x:f>
        <x:v>0</x:v>
      </x:c>
      <x:c r="T39" s="66" t="n">
        <x:f t="shared" si="46">IFERROR(R39/O39,0)</x:f>
        <x:v>1</x:v>
      </x:c>
      <x:c r="U39" s="67" t="n">
        <x:f t="shared" si="47">IF(OR(O39=0,R39=0),0,MIN(1,R39/O39))</x:f>
        <x:v>1</x:v>
      </x:c>
      <x:c r="V39" s="138" t="n">
        <x:f t="shared" si="48">U39-S39</x:f>
        <x:v>1</x:v>
      </x:c>
      <x:c r="W39" s="132"/>
      <x:c r="X39" s="117"/>
      <x:c r="Y39" s="123"/>
      <x:c r="Z39" s="136"/>
      <x:c r="AA39" s="117"/>
      <x:c r="AB39" s="137"/>
      <x:c r="AC39" s="129" t="s">
        <x:v>31</x:v>
      </x:c>
      <x:c r="AD39" s="117"/>
      <x:c r="AE39" s="137"/>
    </x:row>
    <x:row r="40" ht="30" customHeight="1">
      <x:c r="A40" s="2"/>
      <x:c r="B40" s="30"/>
      <x:c r="C40" s="81"/>
      <x:c r="D40" s="58"/>
      <x:c r="E40" s="106" t="s">
        <x:v>54</x:v>
      </x:c>
      <x:c r="F40" s="193" t="str">
        <x:v>난방과 냉방 사용량을 분리 계산하고 연간 값으로 합산</x:v>
      </x:c>
      <x:c r="G40" s="191"/>
      <x:c r="H40" s="88"/>
      <x:c r="I40" s="62" t="s">
        <x:v>29</x:v>
      </x:c>
      <x:c r="J40" s="90" t="str">
        <x:v>연간 냉난방 사용량 계산</x:v>
      </x:c>
      <x:c r="K40" s="34">
        <x:v>46307</x:v>
      </x:c>
      <x:c r="L40" s="35">
        <x:v>46307</x:v>
      </x:c>
      <x:c r="M40" s="34" t="n">
        <x:v>46305</x:v>
      </x:c>
      <x:c r="N40" s="35" t="n">
        <x:v>46305</x:v>
      </x:c>
      <x:c r="O40" s="62" t="n">
        <x:f t="shared" si="41">IF(OR(K40="",L40=""),0,L40-K40+1)</x:f>
        <x:v>1</x:v>
      </x:c>
      <x:c r="P40" s="63" t="n">
        <x:f t="shared" si="42">IF(OR(M40="",N40=""),0,N40-M40+1)</x:f>
        <x:v>1</x:v>
      </x:c>
      <x:c r="Q40" s="60" t="n">
        <x:f t="shared" si="43">IF(O40=0,0,MAX(0,MIN(O40,$L$1-K40+1)))</x:f>
        <x:v>0</x:v>
      </x:c>
      <x:c r="R40" s="64" t="n">
        <x:f t="shared" si="44">IF(P40=0,0,MIN(P40,O40))</x:f>
        <x:v>1</x:v>
      </x:c>
      <x:c r="S40" s="65" t="n">
        <x:f t="shared" si="45">IFERROR(Q40/O40,0)</x:f>
        <x:v>0</x:v>
      </x:c>
      <x:c r="T40" s="66" t="n">
        <x:f t="shared" si="46">IFERROR(R40/O40,0)</x:f>
        <x:v>1</x:v>
      </x:c>
      <x:c r="U40" s="67" t="n">
        <x:f t="shared" si="47">IF(OR(O40=0,R40=0),0,MIN(1,R40/O40))</x:f>
        <x:v>1</x:v>
      </x:c>
      <x:c r="V40" s="138" t="n">
        <x:f t="shared" si="48">U40-S40</x:f>
        <x:v>1</x:v>
      </x:c>
      <x:c r="W40" s="132"/>
      <x:c r="X40" s="117"/>
      <x:c r="Y40" s="123"/>
      <x:c r="Z40" s="136"/>
      <x:c r="AA40" s="117"/>
      <x:c r="AB40" s="137"/>
      <x:c r="AC40" s="129" t="s">
        <x:v>31</x:v>
      </x:c>
      <x:c r="AD40" s="117"/>
      <x:c r="AE40" s="137"/>
    </x:row>
    <x:row r="41" ht="30" customHeight="1">
      <x:c r="A41" s="2"/>
      <x:c r="B41" s="30"/>
      <x:c r="C41" s="81"/>
      <x:c r="D41" s="58"/>
      <x:c r="E41" s="106" t="s">
        <x:v>55</x:v>
      </x:c>
      <x:c r="F41" s="193" t="str">
        <x:v>난방과 냉방 단가를 적용한 연간 비용 계산</x:v>
      </x:c>
      <x:c r="G41" s="191"/>
      <x:c r="H41" s="88"/>
      <x:c r="I41" s="62" t="s">
        <x:v>29</x:v>
      </x:c>
      <x:c r="J41" s="90" t="str">
        <x:v>연간 냉난방 비용 계산</x:v>
      </x:c>
      <x:c r="K41" s="34">
        <x:v>46307</x:v>
      </x:c>
      <x:c r="L41" s="35">
        <x:v>46307</x:v>
      </x:c>
      <x:c r="M41" s="34" t="n">
        <x:v>46305</x:v>
      </x:c>
      <x:c r="N41" s="35" t="n">
        <x:v>46305</x:v>
      </x:c>
      <x:c r="O41" s="62" t="n">
        <x:f t="shared" si="41">IF(OR(K41="",L41=""),0,L41-K41+1)</x:f>
        <x:v>1</x:v>
      </x:c>
      <x:c r="P41" s="63" t="n">
        <x:f t="shared" si="42">IF(OR(M41="",N41=""),0,N41-M41+1)</x:f>
        <x:v>1</x:v>
      </x:c>
      <x:c r="Q41" s="60" t="n">
        <x:f t="shared" si="43">IF(O41=0,0,MAX(0,MIN(O41,$L$1-K41+1)))</x:f>
        <x:v>0</x:v>
      </x:c>
      <x:c r="R41" s="64" t="n">
        <x:f t="shared" si="44">IF(P41=0,0,MIN(P41,O41))</x:f>
        <x:v>1</x:v>
      </x:c>
      <x:c r="S41" s="65" t="n">
        <x:f t="shared" si="45">IFERROR(Q41/O41,0)</x:f>
        <x:v>0</x:v>
      </x:c>
      <x:c r="T41" s="66" t="n">
        <x:f t="shared" si="46">IFERROR(R41/O41,0)</x:f>
        <x:v>1</x:v>
      </x:c>
      <x:c r="U41" s="67" t="n">
        <x:f t="shared" si="47">IF(OR(O41=0,R41=0),0,MIN(1,R41/O41))</x:f>
        <x:v>1</x:v>
      </x:c>
      <x:c r="V41" s="138" t="n">
        <x:f t="shared" si="48">U41-S41</x:f>
        <x:v>1</x:v>
      </x:c>
      <x:c r="W41" s="132"/>
      <x:c r="X41" s="117"/>
      <x:c r="Y41" s="123"/>
      <x:c r="Z41" s="136"/>
      <x:c r="AA41" s="117"/>
      <x:c r="AB41" s="137"/>
      <x:c r="AC41" s="129" t="s">
        <x:v>31</x:v>
      </x:c>
      <x:c r="AD41" s="117"/>
      <x:c r="AE41" s="137"/>
    </x:row>
    <x:row r="42" ht="30" customHeight="1">
      <x:c r="A42" s="2"/>
      <x:c r="B42" s="30"/>
      <x:c r="C42" s="81"/>
      <x:c r="D42" s="58"/>
      <x:c r="E42" s="106" t="s">
        <x:v>56</x:v>
      </x:c>
      <x:c r="F42" s="193" t="str">
        <x:v>비교 제품 대비 예상 연간 절감액 계산</x:v>
      </x:c>
      <x:c r="G42" s="191"/>
      <x:c r="H42" s="88"/>
      <x:c r="I42" s="62" t="s">
        <x:v>29</x:v>
      </x:c>
      <x:c r="J42" s="90" t="str">
        <x:v>절감액 계산 기능</x:v>
      </x:c>
      <x:c r="K42" s="34">
        <x:v>46307</x:v>
      </x:c>
      <x:c r="L42" s="35">
        <x:v>46307</x:v>
      </x:c>
      <x:c r="M42" s="34" t="n">
        <x:v>46305</x:v>
      </x:c>
      <x:c r="N42" s="35" t="n">
        <x:v>46305</x:v>
      </x:c>
      <x:c r="O42" s="62" t="n">
        <x:f t="shared" si="41">IF(OR(K42="",L42=""),0,L42-K42+1)</x:f>
        <x:v>1</x:v>
      </x:c>
      <x:c r="P42" s="63" t="n">
        <x:f t="shared" si="42">IF(OR(M42="",N42=""),0,N42-M42+1)</x:f>
        <x:v>1</x:v>
      </x:c>
      <x:c r="Q42" s="60" t="n">
        <x:f t="shared" si="43">IF(O42=0,0,MAX(0,MIN(O42,$L$1-K42+1)))</x:f>
        <x:v>0</x:v>
      </x:c>
      <x:c r="R42" s="64" t="n">
        <x:f t="shared" si="44">IF(P42=0,0,MIN(P42,O42))</x:f>
        <x:v>1</x:v>
      </x:c>
      <x:c r="S42" s="65" t="n">
        <x:f t="shared" si="45">IFERROR(Q42/O42,0)</x:f>
        <x:v>0</x:v>
      </x:c>
      <x:c r="T42" s="66" t="n">
        <x:f t="shared" si="46">IFERROR(R42/O42,0)</x:f>
        <x:v>1</x:v>
      </x:c>
      <x:c r="U42" s="67" t="n">
        <x:f t="shared" si="47">IF(OR(O42=0,R42=0),0,MIN(1,R42/O42))</x:f>
        <x:v>1</x:v>
      </x:c>
      <x:c r="V42" s="138" t="n">
        <x:f t="shared" si="48">U42-S42</x:f>
        <x:v>1</x:v>
      </x:c>
      <x:c r="W42" s="132"/>
      <x:c r="X42" s="117"/>
      <x:c r="Y42" s="123"/>
      <x:c r="Z42" s="136"/>
      <x:c r="AA42" s="117"/>
      <x:c r="AB42" s="137"/>
      <x:c r="AC42" s="129" t="s">
        <x:v>31</x:v>
      </x:c>
      <x:c r="AD42" s="117"/>
      <x:c r="AE42" s="137"/>
    </x:row>
    <x:row r="43" ht="30" customHeight="1">
      <x:c r="A43" s="2"/>
      <x:c r="B43" s="30"/>
      <x:c r="C43" s="81"/>
      <x:c r="D43" s="58"/>
      <x:c r="E43" s="106" t="s">
        <x:v>57</x:v>
      </x:c>
      <x:c r="F43" s="193" t="str">
        <x:v>제품 구매비와 연간 절감액으로 투자 회수기간 계산</x:v>
      </x:c>
      <x:c r="G43" s="191"/>
      <x:c r="H43" s="88"/>
      <x:c r="I43" s="62" t="s">
        <x:v>29</x:v>
      </x:c>
      <x:c r="J43" s="90" t="str">
        <x:v>회수기간 계산 기능</x:v>
      </x:c>
      <x:c r="K43" s="34">
        <x:v>46307</x:v>
      </x:c>
      <x:c r="L43" s="35">
        <x:v>46307</x:v>
      </x:c>
      <x:c r="M43" s="34" t="n">
        <x:v>46305</x:v>
      </x:c>
      <x:c r="N43" s="35" t="n">
        <x:v>46305</x:v>
      </x:c>
      <x:c r="O43" s="62" t="n">
        <x:f t="shared" si="41">IF(OR(K43="",L43=""),0,L43-K43+1)</x:f>
        <x:v>1</x:v>
      </x:c>
      <x:c r="P43" s="63" t="n">
        <x:f t="shared" si="42">IF(OR(M43="",N43=""),0,N43-M43+1)</x:f>
        <x:v>1</x:v>
      </x:c>
      <x:c r="Q43" s="60" t="n">
        <x:f t="shared" si="43">IF(O43=0,0,MAX(0,MIN(O43,$L$1-K43+1)))</x:f>
        <x:v>0</x:v>
      </x:c>
      <x:c r="R43" s="64" t="n">
        <x:f t="shared" si="44">IF(P43=0,0,MIN(P43,O43))</x:f>
        <x:v>1</x:v>
      </x:c>
      <x:c r="S43" s="65" t="n">
        <x:f t="shared" si="45">IFERROR(Q43/O43,0)</x:f>
        <x:v>0</x:v>
      </x:c>
      <x:c r="T43" s="66" t="n">
        <x:f t="shared" si="46">IFERROR(R43/O43,0)</x:f>
        <x:v>1</x:v>
      </x:c>
      <x:c r="U43" s="67" t="n">
        <x:f t="shared" si="47">IF(OR(O43=0,R43=0),0,MIN(1,R43/O43))</x:f>
        <x:v>1</x:v>
      </x:c>
      <x:c r="V43" s="138" t="n">
        <x:f t="shared" si="48">U43-S43</x:f>
        <x:v>1</x:v>
      </x:c>
      <x:c r="W43" s="132"/>
      <x:c r="X43" s="117"/>
      <x:c r="Y43" s="123"/>
      <x:c r="Z43" s="136"/>
      <x:c r="AA43" s="117"/>
      <x:c r="AB43" s="137"/>
      <x:c r="AC43" s="129" t="s">
        <x:v>31</x:v>
      </x:c>
      <x:c r="AD43" s="117"/>
      <x:c r="AE43" s="137"/>
    </x:row>
    <x:row r="44" ht="30" customHeight="1">
      <x:c r="A44" s="2"/>
      <x:c r="B44" s="30"/>
      <x:c r="C44" s="81"/>
      <x:c r="D44" s="58"/>
      <x:c r="E44" s="106" t="s">
        <x:v>58</x:v>
      </x:c>
      <x:c r="F44" s="193" t="str">
        <x:v>냉난방 분석 결과 UI-05 연동 구현</x:v>
      </x:c>
      <x:c r="G44" s="191"/>
      <x:c r="H44" s="88"/>
      <x:c r="I44" s="62" t="s">
        <x:v>29</x:v>
      </x:c>
      <x:c r="J44" s="90" t="str">
        <x:v>에너지 분석 화면</x:v>
      </x:c>
      <x:c r="K44" s="34">
        <x:v>46307</x:v>
      </x:c>
      <x:c r="L44" s="35">
        <x:v>46307</x:v>
      </x:c>
      <x:c r="M44" s="34" t="n">
        <x:v>46305</x:v>
      </x:c>
      <x:c r="N44" s="35" t="n">
        <x:v>46305</x:v>
      </x:c>
      <x:c r="O44" s="62" t="n">
        <x:f t="shared" si="41">IF(OR(K44="",L44=""),0,L44-K44+1)</x:f>
        <x:v>1</x:v>
      </x:c>
      <x:c r="P44" s="63" t="n">
        <x:f t="shared" si="42">IF(OR(M44="",N44=""),0,N44-M44+1)</x:f>
        <x:v>1</x:v>
      </x:c>
      <x:c r="Q44" s="60" t="n">
        <x:f t="shared" si="43">IF(O44=0,0,MAX(0,MIN(O44,$L$1-K44+1)))</x:f>
        <x:v>0</x:v>
      </x:c>
      <x:c r="R44" s="64" t="n">
        <x:f t="shared" si="44">IF(P44=0,0,MIN(P44,O44))</x:f>
        <x:v>1</x:v>
      </x:c>
      <x:c r="S44" s="65" t="n">
        <x:f t="shared" si="45">IFERROR(Q44/O44,0)</x:f>
        <x:v>0</x:v>
      </x:c>
      <x:c r="T44" s="66" t="n">
        <x:f t="shared" si="46">IFERROR(R44/O44,0)</x:f>
        <x:v>1</x:v>
      </x:c>
      <x:c r="U44" s="67" t="n">
        <x:f t="shared" si="47">IF(OR(O44=0,R44=0),0,MIN(1,R44/O44))</x:f>
        <x:v>1</x:v>
      </x:c>
      <x:c r="V44" s="138" t="n">
        <x:f t="shared" si="48">U44-S44</x:f>
        <x:v>1</x:v>
      </x:c>
      <x:c r="W44" s="132"/>
      <x:c r="X44" s="117"/>
      <x:c r="Y44" s="123"/>
      <x:c r="Z44" s="136"/>
      <x:c r="AA44" s="117"/>
      <x:c r="AB44" s="137"/>
      <x:c r="AC44" s="129" t="s">
        <x:v>31</x:v>
      </x:c>
      <x:c r="AD44" s="117"/>
      <x:c r="AE44" s="137"/>
    </x:row>
    <x:row r="45" ht="30" customHeight="1">
      <x:c r="A45" s="2"/>
      <x:c r="B45" s="30"/>
      <x:c r="C45" s="81"/>
      <x:c r="D45" s="58"/>
      <x:c r="E45" s="106" t="s">
        <x:v>59</x:v>
      </x:c>
      <x:c r="F45" s="193" t="str">
        <x:v>선택 제품 전체 초기화 기능 구현</x:v>
      </x:c>
      <x:c r="G45" s="191"/>
      <x:c r="H45" s="88"/>
      <x:c r="I45" s="62" t="s">
        <x:v>29</x:v>
      </x:c>
      <x:c r="J45" s="90" t="str">
        <x:v>제품 초기화 기능</x:v>
      </x:c>
      <x:c r="K45" s="34">
        <x:v>46307</x:v>
      </x:c>
      <x:c r="L45" s="35">
        <x:v>46307</x:v>
      </x:c>
      <x:c r="M45" s="34" t="n">
        <x:v>46305</x:v>
      </x:c>
      <x:c r="N45" s="35" t="n">
        <x:v>46305</x:v>
      </x:c>
      <x:c r="O45" s="62" t="n">
        <x:f t="shared" si="41">IF(OR(K45="",L45=""),0,L45-K45+1)</x:f>
        <x:v>1</x:v>
      </x:c>
      <x:c r="P45" s="63" t="n">
        <x:f t="shared" si="42">IF(OR(M45="",N45=""),0,N45-M45+1)</x:f>
        <x:v>1</x:v>
      </x:c>
      <x:c r="Q45" s="60" t="n">
        <x:f t="shared" si="43">IF(O45=0,0,MAX(0,MIN(O45,$L$1-K45+1)))</x:f>
        <x:v>0</x:v>
      </x:c>
      <x:c r="R45" s="64" t="n">
        <x:f t="shared" si="44">IF(P45=0,0,MIN(P45,O45))</x:f>
        <x:v>1</x:v>
      </x:c>
      <x:c r="S45" s="65" t="n">
        <x:f t="shared" si="45">IFERROR(Q45/O45,0)</x:f>
        <x:v>0</x:v>
      </x:c>
      <x:c r="T45" s="66" t="n">
        <x:f t="shared" si="46">IFERROR(R45/O45,0)</x:f>
        <x:v>1</x:v>
      </x:c>
      <x:c r="U45" s="67" t="n">
        <x:f t="shared" si="47">IF(OR(O45=0,R45=0),0,MIN(1,R45/O45))</x:f>
        <x:v>1</x:v>
      </x:c>
      <x:c r="V45" s="138" t="n">
        <x:f t="shared" si="48">U45-S45</x:f>
        <x:v>1</x:v>
      </x:c>
      <x:c r="W45" s="132"/>
      <x:c r="X45" s="117"/>
      <x:c r="Y45" s="123"/>
      <x:c r="Z45" s="136"/>
      <x:c r="AA45" s="117"/>
      <x:c r="AB45" s="137"/>
      <x:c r="AC45" s="129" t="s">
        <x:v>31</x:v>
      </x:c>
      <x:c r="AD45" s="117"/>
      <x:c r="AE45" s="137"/>
    </x:row>
    <x:row r="46" ht="30" customHeight="1">
      <x:c r="A46" s="2"/>
      <x:c r="B46" s="30"/>
      <x:c r="C46" s="81"/>
      <x:c r="D46" s="58"/>
      <x:c r="E46" s="106" t="s">
        <x:v>59</x:v>
      </x:c>
      <x:c r="F46" s="193" t="str">
        <x:v>제품비와 냉난방 분석 결과 초기화 기능 구현</x:v>
      </x:c>
      <x:c r="G46" s="191"/>
      <x:c r="H46" s="88"/>
      <x:c r="I46" s="62" t="s">
        <x:v>29</x:v>
      </x:c>
      <x:c r="J46" s="90" t="str">
        <x:v>계산 결과 초기화</x:v>
      </x:c>
      <x:c r="K46" s="34">
        <x:v>46307</x:v>
      </x:c>
      <x:c r="L46" s="35">
        <x:v>46307</x:v>
      </x:c>
      <x:c r="M46" s="34" t="n">
        <x:v>46305</x:v>
      </x:c>
      <x:c r="N46" s="35" t="n">
        <x:v>46305</x:v>
      </x:c>
      <x:c r="O46" s="62" t="n">
        <x:f t="shared" si="41">IF(OR(K46="",L46=""),0,L46-K46+1)</x:f>
        <x:v>1</x:v>
      </x:c>
      <x:c r="P46" s="63" t="n">
        <x:f t="shared" si="42">IF(OR(M46="",N46=""),0,N46-M46+1)</x:f>
        <x:v>1</x:v>
      </x:c>
      <x:c r="Q46" s="60" t="n">
        <x:f t="shared" si="43">IF(O46=0,0,MAX(0,MIN(O46,$L$1-K46+1)))</x:f>
        <x:v>0</x:v>
      </x:c>
      <x:c r="R46" s="64" t="n">
        <x:f t="shared" si="44">IF(P46=0,0,MIN(P46,O46))</x:f>
        <x:v>1</x:v>
      </x:c>
      <x:c r="S46" s="65" t="n">
        <x:f t="shared" si="45">IFERROR(Q46/O46,0)</x:f>
        <x:v>0</x:v>
      </x:c>
      <x:c r="T46" s="66" t="n">
        <x:f t="shared" si="46">IFERROR(R46/O46,0)</x:f>
        <x:v>1</x:v>
      </x:c>
      <x:c r="U46" s="67" t="n">
        <x:f t="shared" si="47">IF(OR(O46=0,R46=0),0,MIN(1,R46/O46))</x:f>
        <x:v>1</x:v>
      </x:c>
      <x:c r="V46" s="138" t="n">
        <x:f t="shared" si="48">U46-S46</x:f>
        <x:v>1</x:v>
      </x:c>
      <x:c r="W46" s="132"/>
      <x:c r="X46" s="117"/>
      <x:c r="Y46" s="123"/>
      <x:c r="Z46" s="136"/>
      <x:c r="AA46" s="117"/>
      <x:c r="AB46" s="137"/>
      <x:c r="AC46" s="129" t="s">
        <x:v>31</x:v>
      </x:c>
      <x:c r="AD46" s="117"/>
      <x:c r="AE46" s="133"/>
    </x:row>
    <x:row r="47" ht="30" customHeight="1">
      <x:c r="A47" s="2"/>
      <x:c r="B47" s="30"/>
      <x:c r="C47" s="81"/>
      <x:c r="D47" s="58"/>
      <x:c r="E47" s="106" t="s">
        <x:v>60</x:v>
      </x:c>
      <x:c r="F47" s="193" t="str">
        <x:v>제품 구매비 결과 UI-06 연동 구현</x:v>
      </x:c>
      <x:c r="G47" s="191"/>
      <x:c r="H47" s="88"/>
      <x:c r="I47" s="62" t="s">
        <x:v>29</x:v>
      </x:c>
      <x:c r="J47" s="90" t="str">
        <x:v>결과 요약 화면</x:v>
      </x:c>
      <x:c r="K47" s="34">
        <x:v>46307</x:v>
      </x:c>
      <x:c r="L47" s="35">
        <x:v>46307</x:v>
      </x:c>
      <x:c r="M47" s="34" t="n">
        <x:v>46305</x:v>
      </x:c>
      <x:c r="N47" s="35" t="n">
        <x:v>46305</x:v>
      </x:c>
      <x:c r="O47" s="62" t="n">
        <x:f t="shared" ref="O47" si="49">IF(OR(K47="",L47=""),0,L47-K47+1)</x:f>
        <x:v>1</x:v>
      </x:c>
      <x:c r="P47" s="63" t="n">
        <x:f t="shared" ref="P47" si="50">IF(OR(M47="",N47=""),0,N47-M47+1)</x:f>
        <x:v>1</x:v>
      </x:c>
      <x:c r="Q47" s="62" t="n">
        <x:f t="shared" ref="Q47" si="51">IF(O47=0,0,MAX(0,MIN(O47,$L$1-K47+1)))</x:f>
        <x:v>0</x:v>
      </x:c>
      <x:c r="R47" s="64" t="n">
        <x:f t="shared" ref="R47" si="52">IF(P47=0,0,MIN(P47,O47))</x:f>
        <x:v>1</x:v>
      </x:c>
      <x:c r="S47" s="65" t="n">
        <x:f t="shared" si="45">IFERROR(Q47/O47,0)</x:f>
        <x:v>0</x:v>
      </x:c>
      <x:c r="T47" s="66" t="n">
        <x:f t="shared" si="46">IFERROR(R47/O47,0)</x:f>
        <x:v>1</x:v>
      </x:c>
      <x:c r="U47" s="67" t="n">
        <x:f t="shared" si="47">IF(OR(O47=0,R47=0),0,MIN(1,R47/O47))</x:f>
        <x:v>1</x:v>
      </x:c>
      <x:c r="V47" s="138" t="n">
        <x:f t="shared" si="48">U47-S47</x:f>
        <x:v>1</x:v>
      </x:c>
      <x:c r="W47" s="132"/>
      <x:c r="X47" s="117"/>
      <x:c r="Y47" s="123"/>
      <x:c r="Z47" s="136"/>
      <x:c r="AA47" s="117"/>
      <x:c r="AB47" s="137"/>
      <x:c r="AC47" s="129" t="s">
        <x:v>31</x:v>
      </x:c>
      <x:c r="AD47" s="117"/>
      <x:c r="AE47" s="133"/>
    </x:row>
    <x:row r="48" ht="30" customHeight="1">
      <x:c r="A48" s="2"/>
      <x:c r="B48" s="30"/>
      <x:c r="C48" s="81"/>
      <x:c r="D48" s="58"/>
      <x:c r="E48" s="106" t="s">
        <x:v>60</x:v>
      </x:c>
      <x:c r="F48" s="207" t="str">
        <x:v>제품명, 냉난방 사용량, 비용, 절감액, 회수기간 UI-06 연동</x:v>
      </x:c>
      <x:c r="G48" s="194"/>
      <x:c r="H48" s="74"/>
      <x:c r="I48" s="74" t="s">
        <x:v>29</x:v>
      </x:c>
      <x:c r="J48" s="86" t="str">
        <x:v>화면 안에 표시되는 최종 결과</x:v>
      </x:c>
      <x:c r="K48" s="39">
        <x:v>46307</x:v>
      </x:c>
      <x:c r="L48" s="212">
        <x:v>46307</x:v>
      </x:c>
      <x:c r="M48" s="36" t="n">
        <x:v>46305</x:v>
      </x:c>
      <x:c r="N48" s="37" t="n">
        <x:v>46305</x:v>
      </x:c>
      <x:c r="O48" s="74" t="n">
        <x:f t="shared" si="2">IF(OR(K48="",L48=""),0,L48-K48+1)</x:f>
        <x:v>1</x:v>
      </x:c>
      <x:c r="P48" s="76" t="n">
        <x:f t="shared" si="3">IF(OR(M48="",N48=""),0,N48-M48+1)</x:f>
        <x:v>1</x:v>
      </x:c>
      <x:c r="Q48" s="74" t="n">
        <x:f t="shared" si="4">IF(O48=0,0,MAX(0,MIN(O48,$L$1-K48+1)))</x:f>
        <x:v>0</x:v>
      </x:c>
      <x:c r="R48" s="78" t="n">
        <x:f t="shared" si="5">IF(P48=0,0,MIN(P48,O48))</x:f>
        <x:v>1</x:v>
      </x:c>
      <x:c r="S48" s="113" t="n">
        <x:f t="shared" si="6">IFERROR(Q48/O48,0)</x:f>
        <x:v>0</x:v>
      </x:c>
      <x:c r="T48" s="114" t="n">
        <x:f t="shared" si="7">IFERROR(R48/O48,0)</x:f>
        <x:v>1</x:v>
      </x:c>
      <x:c r="U48" s="115" t="n">
        <x:f t="shared" si="8">IF(OR(O48=0,R48=0),0,MIN(1,R48/O48))</x:f>
        <x:v>1</x:v>
      </x:c>
      <x:c r="V48" s="139" t="n">
        <x:f t="shared" si="1">U48-S48</x:f>
        <x:v>1</x:v>
      </x:c>
      <x:c r="W48" s="152"/>
      <x:c r="X48" s="153"/>
      <x:c r="Y48" s="151"/>
      <x:c r="Z48" s="158"/>
      <x:c r="AA48" s="159"/>
      <x:c r="AB48" s="160"/>
      <x:c r="AC48" s="161" t="s">
        <x:v>31</x:v>
      </x:c>
      <x:c r="AD48" s="159"/>
      <x:c r="AE48" s="154"/>
    </x:row>
    <x:row r="49" ht="30" customHeight="1">
      <x:c r="A49" s="2"/>
      <x:c r="B49" s="30">
        <x:v>4</x:v>
      </x:c>
      <x:c r="C49" s="79">
        <x:v>0.15</x:v>
      </x:c>
      <x:c r="D49" s="94" t="s">
        <x:v>61</x:v>
      </x:c>
      <x:c r="E49" s="106" t="s">
        <x:v>62</x:v>
      </x:c>
      <x:c r="F49" s="211" t="str">
        <x:v>Room, 이동, 제품 변경, 제품 구매비 기능 테스트</x:v>
      </x:c>
      <x:c r="G49" s="187"/>
      <x:c r="H49" s="59" t="s">
        <x:v>28</x:v>
      </x:c>
      <x:c r="I49" s="60"/>
      <x:c r="J49" s="80" t="str">
        <x:v>TC-01~TC-09 결과</x:v>
      </x:c>
      <x:c r="K49" s="34">
        <x:v>46303</x:v>
      </x:c>
      <x:c r="L49" s="35">
        <x:v>46303</x:v>
      </x:c>
      <x:c r="M49" s="34" t="n">
        <x:v>46303</x:v>
      </x:c>
      <x:c r="N49" s="35" t="n">
        <x:v>46305</x:v>
      </x:c>
      <x:c r="O49" s="60" t="n">
        <x:f t="shared" si="2">IF(OR(K49="",L49=""),0,L49-K49+1)</x:f>
        <x:v>1</x:v>
      </x:c>
      <x:c r="P49" s="63" t="n">
        <x:f t="shared" si="3">IF(OR(M49="",N49=""),0,N49-M49+1)</x:f>
        <x:v>3</x:v>
      </x:c>
      <x:c r="Q49" s="60" t="n">
        <x:f t="shared" si="4">IF(O49=0,0,MAX(0,MIN(O49,$L$1-K49+1)))</x:f>
        <x:v>1</x:v>
      </x:c>
      <x:c r="R49" s="64" t="n">
        <x:f t="shared" si="5">IF(P49=0,0,MIN(P49,O49))</x:f>
        <x:v>1</x:v>
      </x:c>
      <x:c r="S49" s="110" t="n">
        <x:f t="shared" si="6">IFERROR(Q49/O49,0)</x:f>
        <x:v>1</x:v>
      </x:c>
      <x:c r="T49" s="111" t="n">
        <x:f t="shared" si="7">IFERROR(R49/O49,0)</x:f>
        <x:v>1</x:v>
      </x:c>
      <x:c r="U49" s="112" t="n">
        <x:f t="shared" si="8">IF(OR(O49=0,R49=0),0,MIN(1,R49/O49))</x:f>
        <x:v>1</x:v>
      </x:c>
      <x:c r="V49" s="140" t="n">
        <x:f t="shared" si="1">U49-S49</x:f>
        <x:v>0</x:v>
      </x:c>
      <x:c r="W49" s="147"/>
      <x:c r="X49" s="148"/>
      <x:c r="Y49" s="156" t="s">
        <x:v>31</x:v>
      </x:c>
      <x:c r="Z49" s="147"/>
      <x:c r="AA49" s="148"/>
      <x:c r="AB49" s="149"/>
      <x:c r="AC49" s="150"/>
      <x:c r="AD49" s="148"/>
      <x:c r="AE49" s="149"/>
    </x:row>
    <x:row r="50" ht="30" customHeight="1">
      <x:c r="A50" s="2"/>
      <x:c r="B50" s="30"/>
      <x:c r="C50" s="81"/>
      <x:c r="D50" s="58"/>
      <x:c r="E50" s="106" t="s">
        <x:v>63</x:v>
      </x:c>
      <x:c r="F50" s="193" t="str">
        <x:v>냉난방 계산, 초기화, 결과 화면 테스트</x:v>
      </x:c>
      <x:c r="G50" s="191"/>
      <x:c r="H50" s="59" t="s">
        <x:v>28</x:v>
      </x:c>
      <x:c r="I50" s="60"/>
      <x:c r="J50" s="80" t="str">
        <x:v>TC-10~TC-16 결과</x:v>
      </x:c>
      <x:c r="K50" s="34">
        <x:v>46307</x:v>
      </x:c>
      <x:c r="L50" s="34">
        <x:v>46307</x:v>
      </x:c>
      <x:c r="M50" s="34" t="n">
        <x:v>46305</x:v>
      </x:c>
      <x:c r="N50" s="35" t="n">
        <x:v>46305</x:v>
      </x:c>
      <x:c r="O50" s="62" t="n">
        <x:f t="shared" si="2">IF(OR(K50="",L50=""),0,L50-K50+1)</x:f>
        <x:v>1</x:v>
      </x:c>
      <x:c r="P50" s="63" t="n">
        <x:f t="shared" si="3">IF(OR(M50="",N50=""),0,N50-M50+1)</x:f>
        <x:v>1</x:v>
      </x:c>
      <x:c r="Q50" s="62" t="n">
        <x:f t="shared" si="4">IF(O50=0,0,MAX(0,MIN(O50,$L$1-K50+1)))</x:f>
        <x:v>0</x:v>
      </x:c>
      <x:c r="R50" s="64" t="n">
        <x:f t="shared" si="5">IF(P50=0,0,MIN(P50,O50))</x:f>
        <x:v>1</x:v>
      </x:c>
      <x:c r="S50" s="65" t="n">
        <x:f t="shared" si="6">IFERROR(Q50/O50,0)</x:f>
        <x:v>0</x:v>
      </x:c>
      <x:c r="T50" s="66" t="n">
        <x:f t="shared" si="7">IFERROR(R50/O50,0)</x:f>
        <x:v>1</x:v>
      </x:c>
      <x:c r="U50" s="67" t="n">
        <x:f t="shared" si="8">IF(OR(O50=0,R50=0),0,MIN(1,R50/O50))</x:f>
        <x:v>1</x:v>
      </x:c>
      <x:c r="V50" s="138" t="n">
        <x:f t="shared" si="1">U50-S50</x:f>
        <x:v>1</x:v>
      </x:c>
      <x:c r="W50" s="132"/>
      <x:c r="X50" s="117"/>
      <x:c r="Y50" s="123"/>
      <x:c r="Z50" s="132"/>
      <x:c r="AA50" s="120"/>
      <x:c r="AB50" s="133"/>
      <x:c r="AC50" s="129" t="s">
        <x:v>31</x:v>
      </x:c>
      <x:c r="AD50" s="120"/>
      <x:c r="AE50" s="137"/>
    </x:row>
    <x:row r="51" ht="30" customHeight="1">
      <x:c r="A51" s="3"/>
      <x:c r="B51" s="30"/>
      <x:c r="C51" s="81"/>
      <x:c r="D51" s="58"/>
      <x:c r="E51" s="106" t="s">
        <x:v>64</x:v>
      </x:c>
      <x:c r="F51" s="193" t="str">
        <x:v>성능, 사용성, 호환성, 안정성, 확장성 결과 정리</x:v>
      </x:c>
      <x:c r="G51" s="191"/>
      <x:c r="H51" s="95" t="s">
        <x:v>28</x:v>
      </x:c>
      <x:c r="I51" s="96"/>
      <x:c r="J51" s="97" t="str">
        <x:v>TC-17~TC-26 통과와 미실시 기록</x:v>
      </x:c>
      <x:c r="K51" s="34">
        <x:v>46307</x:v>
      </x:c>
      <x:c r="L51" s="34">
        <x:v>46307</x:v>
      </x:c>
      <x:c r="M51" s="34" t="n">
        <x:v>46305</x:v>
      </x:c>
      <x:c r="N51" s="35" t="n">
        <x:v>46305</x:v>
      </x:c>
      <x:c r="O51" s="98" t="n">
        <x:f t="shared" si="2">IF(OR(K51="",L51=""),0,L51-K51+1)</x:f>
        <x:v>1</x:v>
      </x:c>
      <x:c r="P51" s="63" t="n">
        <x:f t="shared" si="3">IF(OR(M51="",N51=""),0,N51-M51+1)</x:f>
        <x:v>1</x:v>
      </x:c>
      <x:c r="Q51" s="98" t="n">
        <x:f t="shared" si="4">IF(O51=0,0,MAX(0,MIN(O51,$L$1-K51+1)))</x:f>
        <x:v>0</x:v>
      </x:c>
      <x:c r="R51" s="64" t="n">
        <x:f t="shared" si="5">IF(P51=0,0,MIN(P51,O51))</x:f>
        <x:v>1</x:v>
      </x:c>
      <x:c r="S51" s="99" t="n">
        <x:f t="shared" si="6">IFERROR(Q51/O51,0)</x:f>
        <x:v>0</x:v>
      </x:c>
      <x:c r="T51" s="66" t="n">
        <x:f t="shared" si="7">IFERROR(R51/O51,0)</x:f>
        <x:v>1</x:v>
      </x:c>
      <x:c r="U51" s="67" t="n">
        <x:f t="shared" si="8">IF(OR(O51=0,R51=0),0,MIN(1,R51/O51))</x:f>
        <x:v>1</x:v>
      </x:c>
      <x:c r="V51" s="138" t="n">
        <x:f t="shared" si="1">U51-S51</x:f>
        <x:v>1</x:v>
      </x:c>
      <x:c r="W51" s="132"/>
      <x:c r="X51" s="121"/>
      <x:c r="Y51" s="126"/>
      <x:c r="Z51" s="134"/>
      <x:c r="AA51" s="121"/>
      <x:c r="AB51" s="135"/>
      <x:c r="AC51" s="129" t="s">
        <x:v>31</x:v>
      </x:c>
      <x:c r="AD51" s="121"/>
      <x:c r="AE51" s="144"/>
    </x:row>
    <x:row r="52" ht="30" customHeight="1">
      <x:c r="A52" s="2"/>
      <x:c r="B52" s="30"/>
      <x:c r="C52" s="81"/>
      <x:c r="D52" s="58"/>
      <x:c r="E52" s="106" t="s">
        <x:v>65</x:v>
      </x:c>
      <x:c r="F52" s="193" t="str">
        <x:v>UI-01~UI-06 통합과 결함 수정</x:v>
      </x:c>
      <x:c r="G52" s="191"/>
      <x:c r="H52" s="100"/>
      <x:c r="I52" s="96" t="s">
        <x:v>29</x:v>
      </x:c>
      <x:c r="J52" s="97" t="str">
        <x:v>통합 실행 확인 결과</x:v>
      </x:c>
      <x:c r="K52" s="34">
        <x:v>46308</x:v>
      </x:c>
      <x:c r="L52" s="34">
        <x:v>46308</x:v>
      </x:c>
      <x:c r="M52" s="34" t="n">
        <x:v>46305</x:v>
      </x:c>
      <x:c r="N52" s="35" t="n">
        <x:v>46305</x:v>
      </x:c>
      <x:c r="O52" s="98" t="n">
        <x:f t="shared" si="2">IF(OR(K52="",L52=""),0,L52-K52+1)</x:f>
        <x:v>1</x:v>
      </x:c>
      <x:c r="P52" s="63" t="n">
        <x:f t="shared" si="3">IF(OR(M52="",N52=""),0,N52-M52+1)</x:f>
        <x:v>1</x:v>
      </x:c>
      <x:c r="Q52" s="98" t="n">
        <x:f t="shared" si="4">IF(O52=0,0,MAX(0,MIN(O52,$L$1-K52+1)))</x:f>
        <x:v>0</x:v>
      </x:c>
      <x:c r="R52" s="64" t="n">
        <x:f t="shared" si="5">IF(P52=0,0,MIN(P52,O52))</x:f>
        <x:v>1</x:v>
      </x:c>
      <x:c r="S52" s="99" t="n">
        <x:f t="shared" si="6">IFERROR(Q52/O52,0)</x:f>
        <x:v>0</x:v>
      </x:c>
      <x:c r="T52" s="66" t="n">
        <x:f t="shared" si="7">IFERROR(R52/O52,0)</x:f>
        <x:v>1</x:v>
      </x:c>
      <x:c r="U52" s="67" t="n">
        <x:f t="shared" si="8">IF(OR(O52=0,R52=0),0,MIN(1,R52/O52))</x:f>
        <x:v>1</x:v>
      </x:c>
      <x:c r="V52" s="138" t="n">
        <x:f t="shared" si="1">U52-S52</x:f>
        <x:v>1</x:v>
      </x:c>
      <x:c r="W52" s="132"/>
      <x:c r="X52" s="117"/>
      <x:c r="Y52" s="123"/>
      <x:c r="Z52" s="132"/>
      <x:c r="AA52" s="117"/>
      <x:c r="AB52" s="133"/>
      <x:c r="AC52" s="119"/>
      <x:c r="AD52" s="120" t="s">
        <x:v>31</x:v>
      </x:c>
      <x:c r="AE52" s="137"/>
    </x:row>
    <x:row r="53" ht="30" customHeight="1">
      <x:c r="A53" s="2"/>
      <x:c r="B53" s="33"/>
      <x:c r="C53" s="84"/>
      <x:c r="D53" s="72"/>
      <x:c r="E53" s="106"/>
      <x:c r="F53" s="207"/>
      <x:c r="G53" s="194"/>
      <x:c r="H53" s="73"/>
      <x:c r="I53" s="74"/>
      <x:c r="J53" s="86"/>
      <x:c r="K53" s="39"/>
      <x:c r="L53" s="39"/>
      <x:c r="M53" s="39"/>
      <x:c r="N53" s="39"/>
      <x:c r="O53" s="74">
        <x:f t="shared" si="2"/>
        <x:v>0</x:v>
      </x:c>
      <x:c r="P53" s="76">
        <x:f t="shared" si="3"/>
        <x:v>0</x:v>
      </x:c>
      <x:c r="Q53" s="74">
        <x:f t="shared" si="4"/>
        <x:v>0</x:v>
      </x:c>
      <x:c r="R53" s="78">
        <x:f t="shared" si="5"/>
        <x:v>0</x:v>
      </x:c>
      <x:c r="S53" s="65">
        <x:f t="shared" si="6"/>
        <x:v>0</x:v>
      </x:c>
      <x:c r="T53" s="66">
        <x:f t="shared" si="7"/>
        <x:v>0</x:v>
      </x:c>
      <x:c r="U53" s="67">
        <x:f t="shared" si="8"/>
        <x:v>0</x:v>
      </x:c>
      <x:c r="V53" s="138">
        <x:f t="shared" si="1"/>
        <x:v>0</x:v>
      </x:c>
      <x:c r="W53" s="132"/>
      <x:c r="X53" s="117"/>
      <x:c r="Y53" s="123"/>
      <x:c r="Z53" s="132"/>
      <x:c r="AA53" s="117"/>
      <x:c r="AB53" s="133"/>
      <x:c r="AC53" s="119"/>
      <x:c r="AD53" s="117"/>
      <x:c r="AE53" s="137"/>
    </x:row>
    <x:row r="54" ht="30" customHeight="1">
      <x:c r="A54" s="2"/>
      <x:c r="B54" s="30">
        <x:v>5</x:v>
      </x:c>
      <x:c r="C54" s="79">
        <x:v>0.15</x:v>
      </x:c>
      <x:c r="D54" s="58" t="str">
        <x:v>문서화
/최종검수</x:v>
      </x:c>
      <x:c r="E54" s="106" t="str">
        <x:v>NFR</x:v>
      </x:c>
      <x:c r="F54" s="205" t="str">
        <x:v>Unity Editor 수동 실행과 NFR 점검, 미실시 항목 기록</x:v>
      </x:c>
      <x:c r="G54" s="206"/>
      <x:c r="H54" s="59" t="s">
        <x:v>28</x:v>
      </x:c>
      <x:c r="I54" s="60" t="s">
        <x:v>29</x:v>
      </x:c>
      <x:c r="J54" s="83" t="str">
        <x:v>NFR 점검 기록과 체크리스트</x:v>
      </x:c>
      <x:c r="K54" s="34">
        <x:v>46309</x:v>
      </x:c>
      <x:c r="L54" s="34">
        <x:v>46309</x:v>
      </x:c>
      <x:c r="M54" s="34" t="n">
        <x:v>46305</x:v>
      </x:c>
      <x:c r="N54" s="34" t="n">
        <x:v>46305</x:v>
      </x:c>
      <x:c r="O54" s="60" t="n">
        <x:f>IF(OR(K54="",L54=""),0,L54-K54+1)</x:f>
        <x:v>1</x:v>
      </x:c>
      <x:c r="P54" s="63" t="n">
        <x:f t="shared" si="3">IF(OR(M54="",N54=""),0,N54-M54+1)</x:f>
        <x:v>1</x:v>
      </x:c>
      <x:c r="Q54" s="60" t="n">
        <x:f t="shared" si="4">IF(O54=0,0,MAX(0,MIN(O54,$L$1-K54+1)))</x:f>
        <x:v>0</x:v>
      </x:c>
      <x:c r="R54" s="64" t="n">
        <x:f t="shared" si="5">IF(P54=0,0,MIN(P54,O54))</x:f>
        <x:v>1</x:v>
      </x:c>
      <x:c r="S54" s="65" t="n">
        <x:f t="shared" si="6">IFERROR(Q54/O54,0)</x:f>
        <x:v>0</x:v>
      </x:c>
      <x:c r="T54" s="66" t="n">
        <x:f t="shared" si="7">IFERROR(R54/O54,0)</x:f>
        <x:v>1</x:v>
      </x:c>
      <x:c r="U54" s="67" t="n">
        <x:f t="shared" si="8">IF(OR(O54=0,R54=0),0,MIN(1,R54/O54))</x:f>
        <x:v>1</x:v>
      </x:c>
      <x:c r="V54" s="138" t="n">
        <x:f t="shared" si="1">U54-S54</x:f>
        <x:v>1</x:v>
      </x:c>
      <x:c r="W54" s="132"/>
      <x:c r="X54" s="117"/>
      <x:c r="Y54" s="123"/>
      <x:c r="Z54" s="132"/>
      <x:c r="AA54" s="117"/>
      <x:c r="AB54" s="133"/>
      <x:c r="AC54" s="119"/>
      <x:c r="AD54" s="117"/>
      <x:c r="AE54" s="137" t="s">
        <x:v>31</x:v>
      </x:c>
    </x:row>
    <x:row r="55" ht="30" customHeight="1">
      <x:c r="A55" s="2"/>
      <x:c r="B55" s="30"/>
      <x:c r="C55" s="81"/>
      <x:c r="D55" s="58"/>
      <x:c r="E55" s="106" t="s">
        <x:v>66</x:v>
      </x:c>
      <x:c r="F55" s="191" t="str">
        <x:v>SRS, Class Diagram, WBS와 작업 기록 갱신</x:v>
      </x:c>
      <x:c r="G55" s="192"/>
      <x:c r="H55" s="82" t="s">
        <x:v>28</x:v>
      </x:c>
      <x:c r="I55" s="62" t="s">
        <x:v>29</x:v>
      </x:c>
      <x:c r="J55" s="83" t="str">
        <x:v>SRS v1.3, Diagram, WBS, WORK_LOG</x:v>
      </x:c>
      <x:c r="K55" s="34">
        <x:v>46309</x:v>
      </x:c>
      <x:c r="L55" s="34">
        <x:v>46309</x:v>
      </x:c>
      <x:c r="M55" s="70" t="n">
        <x:v>46305</x:v>
      </x:c>
      <x:c r="N55" s="70" t="n">
        <x:v>46305</x:v>
      </x:c>
      <x:c r="O55" s="62" t="n">
        <x:f t="shared" si="2">IF(OR(K55="",L55=""),0,L55-K55+1)</x:f>
        <x:v>1</x:v>
      </x:c>
      <x:c r="P55" s="63" t="n">
        <x:f t="shared" si="3">IF(OR(M55="",N55=""),0,N55-M55+1)</x:f>
        <x:v>1</x:v>
      </x:c>
      <x:c r="Q55" s="62" t="n">
        <x:f t="shared" si="4">IF(O55=0,0,MAX(0,MIN(O55,$L$1-K55+1)))</x:f>
        <x:v>0</x:v>
      </x:c>
      <x:c r="R55" s="64" t="n">
        <x:f t="shared" si="5">IF(P55=0,0,MIN(P55,O55))</x:f>
        <x:v>1</x:v>
      </x:c>
      <x:c r="S55" s="65" t="n">
        <x:f t="shared" si="6">IFERROR(Q55/O55,0)</x:f>
        <x:v>0</x:v>
      </x:c>
      <x:c r="T55" s="66" t="n">
        <x:f t="shared" si="7">IFERROR(R55/O55,0)</x:f>
        <x:v>1</x:v>
      </x:c>
      <x:c r="U55" s="67" t="n">
        <x:f t="shared" si="8">IF(OR(O55=0,R55=0),0,MIN(1,R55/O55))</x:f>
        <x:v>1</x:v>
      </x:c>
      <x:c r="V55" s="138" t="n">
        <x:f t="shared" si="1">U55-S55</x:f>
        <x:v>1</x:v>
      </x:c>
      <x:c r="W55" s="132"/>
      <x:c r="X55" s="117"/>
      <x:c r="Y55" s="123"/>
      <x:c r="Z55" s="132"/>
      <x:c r="AA55" s="117"/>
      <x:c r="AB55" s="133"/>
      <x:c r="AC55" s="119"/>
      <x:c r="AD55" s="117"/>
      <x:c r="AE55" s="137" t="s">
        <x:v>31</x:v>
      </x:c>
    </x:row>
    <x:row r="56" ht="30" customHeight="1">
      <x:c r="A56" s="4"/>
      <x:c r="B56" s="29"/>
      <x:c r="C56" s="81"/>
      <x:c r="D56" s="58"/>
      <x:c r="E56" s="106"/>
      <x:c r="F56" s="191"/>
      <x:c r="G56" s="192"/>
      <x:c r="H56" s="82"/>
      <x:c r="I56" s="62"/>
      <x:c r="J56" s="83"/>
      <x:c r="K56" s="70"/>
      <x:c r="L56" s="70"/>
      <x:c r="M56" s="70"/>
      <x:c r="N56" s="70"/>
      <x:c r="O56" s="62">
        <x:f t="shared" si="2"/>
        <x:v>0</x:v>
      </x:c>
      <x:c r="P56" s="63">
        <x:f t="shared" si="3"/>
        <x:v>0</x:v>
      </x:c>
      <x:c r="Q56" s="62">
        <x:f t="shared" si="4"/>
        <x:v>0</x:v>
      </x:c>
      <x:c r="R56" s="64">
        <x:f t="shared" si="5"/>
        <x:v>0</x:v>
      </x:c>
      <x:c r="S56" s="65">
        <x:f t="shared" si="6"/>
        <x:v>0</x:v>
      </x:c>
      <x:c r="T56" s="66">
        <x:f t="shared" si="7"/>
        <x:v>0</x:v>
      </x:c>
      <x:c r="U56" s="67">
        <x:f t="shared" si="8"/>
        <x:v>0</x:v>
      </x:c>
      <x:c r="V56" s="138">
        <x:f t="shared" si="1"/>
        <x:v>0</x:v>
      </x:c>
      <x:c r="W56" s="132"/>
      <x:c r="X56" s="117"/>
      <x:c r="Y56" s="123"/>
      <x:c r="Z56" s="132"/>
      <x:c r="AA56" s="117"/>
      <x:c r="AB56" s="133"/>
      <x:c r="AC56" s="119"/>
      <x:c r="AD56" s="117"/>
      <x:c r="AE56" s="137" t="s">
        <x:v>31</x:v>
      </x:c>
    </x:row>
    <x:row r="57" ht="30" customHeight="1">
      <x:c r="A57" s="5"/>
      <x:c r="B57" s="29"/>
      <x:c r="C57" s="81"/>
      <x:c r="D57" s="58"/>
      <x:c r="E57" s="106"/>
      <x:c r="F57" s="191"/>
      <x:c r="G57" s="192"/>
      <x:c r="H57" s="82"/>
      <x:c r="I57" s="62"/>
      <x:c r="J57" s="83"/>
      <x:c r="K57" s="70"/>
      <x:c r="L57" s="70"/>
      <x:c r="M57" s="70"/>
      <x:c r="N57" s="70"/>
      <x:c r="O57" s="62">
        <x:f t="shared" si="2"/>
        <x:v>0</x:v>
      </x:c>
      <x:c r="P57" s="63">
        <x:f t="shared" si="3"/>
        <x:v>0</x:v>
      </x:c>
      <x:c r="Q57" s="62">
        <x:f t="shared" si="4"/>
        <x:v>0</x:v>
      </x:c>
      <x:c r="R57" s="64">
        <x:f t="shared" si="5"/>
        <x:v>0</x:v>
      </x:c>
      <x:c r="S57" s="65">
        <x:f t="shared" si="6"/>
        <x:v>0</x:v>
      </x:c>
      <x:c r="T57" s="66">
        <x:f t="shared" si="7"/>
        <x:v>0</x:v>
      </x:c>
      <x:c r="U57" s="67">
        <x:f t="shared" si="8"/>
        <x:v>0</x:v>
      </x:c>
      <x:c r="V57" s="138">
        <x:f t="shared" si="1"/>
        <x:v>0</x:v>
      </x:c>
      <x:c r="W57" s="132"/>
      <x:c r="X57" s="117"/>
      <x:c r="Y57" s="123"/>
      <x:c r="Z57" s="132"/>
      <x:c r="AA57" s="117"/>
      <x:c r="AB57" s="133"/>
      <x:c r="AC57" s="119"/>
      <x:c r="AD57" s="117"/>
      <x:c r="AE57" s="137"/>
    </x:row>
    <x:row r="58" ht="30" customHeight="1">
      <x:c r="A58" s="2"/>
      <x:c r="B58" s="40"/>
      <x:c r="C58" s="84"/>
      <x:c r="D58" s="72"/>
      <x:c r="E58" s="106"/>
      <x:c r="F58" s="191"/>
      <x:c r="G58" s="192"/>
      <x:c r="H58" s="87"/>
      <x:c r="I58" s="101"/>
      <x:c r="J58" s="102"/>
      <x:c r="K58" s="103"/>
      <x:c r="L58" s="103"/>
      <x:c r="M58" s="103"/>
      <x:c r="N58" s="103"/>
      <x:c r="O58" s="62">
        <x:f t="shared" si="2"/>
        <x:v>0</x:v>
      </x:c>
      <x:c r="P58" s="63">
        <x:f t="shared" si="3"/>
        <x:v>0</x:v>
      </x:c>
      <x:c r="Q58" s="62">
        <x:f t="shared" si="4"/>
        <x:v>0</x:v>
      </x:c>
      <x:c r="R58" s="64">
        <x:f t="shared" si="5"/>
        <x:v>0</x:v>
      </x:c>
      <x:c r="S58" s="65">
        <x:f t="shared" si="6"/>
        <x:v>0</x:v>
      </x:c>
      <x:c r="T58" s="66">
        <x:f t="shared" si="7"/>
        <x:v>0</x:v>
      </x:c>
      <x:c r="U58" s="67">
        <x:f t="shared" si="8"/>
        <x:v>0</x:v>
      </x:c>
      <x:c r="V58" s="138">
        <x:f t="shared" si="1"/>
        <x:v>0</x:v>
      </x:c>
      <x:c r="W58" s="162"/>
      <x:c r="X58" s="163"/>
      <x:c r="Y58" s="164"/>
      <x:c r="Z58" s="162"/>
      <x:c r="AA58" s="163"/>
      <x:c r="AB58" s="165"/>
      <x:c r="AC58" s="166"/>
      <x:c r="AD58" s="163"/>
      <x:c r="AE58" s="167"/>
    </x:row>
    <x:row r="59" ht="33" customHeight="1">
      <x:c r="A59" s="6"/>
      <x:c r="B59" s="210"/>
      <x:c r="C59" s="210"/>
      <x:c r="D59" s="210"/>
      <x:c r="E59" s="210"/>
      <x:c r="F59" s="210"/>
      <x:c r="G59" s="210"/>
      <x:c r="H59" s="41"/>
      <x:c r="I59" s="41"/>
      <x:c r="J59" s="104"/>
      <x:c r="K59" s="104"/>
      <x:c r="L59" s="104"/>
      <x:c r="M59" s="42"/>
      <x:c r="N59" s="42"/>
      <x:c r="O59" s="43" t="n">
        <x:f>SUM(O6:O58)</x:f>
        <x:v>44</x:v>
      </x:c>
      <x:c r="P59" s="44" t="n">
        <x:f>SUM(P6:P58)</x:f>
        <x:v>96</x:v>
      </x:c>
      <x:c r="Q59" s="42" t="n">
        <x:f>SUM(Q6:Q58)</x:f>
        <x:v>21</x:v>
      </x:c>
      <x:c r="R59" s="44" t="n">
        <x:f>SUM(R6:R58)</x:f>
        <x:v>44</x:v>
      </x:c>
      <x:c r="S59" s="45" t="n">
        <x:f t="shared" si="6">IFERROR(Q59/O59,0)</x:f>
        <x:v>0.4772727272727273</x:v>
      </x:c>
      <x:c r="T59" s="45" t="n">
        <x:f t="shared" si="7">IFERROR(R59/O59,0)</x:f>
        <x:v>1</x:v>
      </x:c>
      <x:c r="U59" s="46" t="n">
        <x:f>U5</x:f>
        <x:v>1</x:v>
      </x:c>
      <x:c r="V59" s="141" t="n">
        <x:f t="shared" si="1">V5</x:f>
        <x:v>0.5227272727272727</x:v>
      </x:c>
      <x:c r="W59" s="208"/>
      <x:c r="X59" s="209"/>
      <x:c r="Y59" s="209"/>
      <x:c r="Z59" s="209"/>
      <x:c r="AA59" s="209"/>
      <x:c r="AB59" s="209"/>
      <x:c r="AC59" s="209"/>
      <x:c r="AD59" s="209"/>
      <x:c r="AE59" s="209"/>
    </x:row>
    <x:row r="60" ht="15.75" customHeight="1"/>
    <x:row r="61" ht="15.75" customHeight="1"/>
    <x:row r="62" ht="6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</x:sheetData>
  <x:mergeCells>
    <x:mergeCell ref="W59:AE59"/>
    <x:mergeCell ref="F40:G40"/>
    <x:mergeCell ref="F41:G41"/>
    <x:mergeCell ref="F42:G42"/>
    <x:mergeCell ref="F43:G43"/>
    <x:mergeCell ref="F44:G44"/>
    <x:mergeCell ref="B59:G59"/>
    <x:mergeCell ref="F57:G57"/>
    <x:mergeCell ref="F58:G58"/>
    <x:mergeCell ref="F32:G32"/>
    <x:mergeCell ref="F33:G33"/>
    <x:mergeCell ref="F46:G46"/>
    <x:mergeCell ref="F48:G48"/>
    <x:mergeCell ref="F24:G24"/>
    <x:mergeCell ref="F27:G27"/>
    <x:mergeCell ref="F45:G45"/>
    <x:mergeCell ref="F47:G47"/>
    <x:mergeCell ref="F54:G54"/>
    <x:mergeCell ref="F55:G55"/>
    <x:mergeCell ref="F56:G56"/>
    <x:mergeCell ref="F49:G49"/>
    <x:mergeCell ref="F50:G50"/>
    <x:mergeCell ref="F51:G51"/>
    <x:mergeCell ref="F52:G52"/>
    <x:mergeCell ref="F53:G53"/>
    <x:mergeCell ref="F31:G31"/>
    <x:mergeCell ref="F25:G25"/>
    <x:mergeCell ref="F26:G26"/>
    <x:mergeCell ref="F28:G28"/>
    <x:mergeCell ref="W3:AE3"/>
    <x:mergeCell ref="W4:AE4"/>
    <x:mergeCell ref="F39:G39"/>
    <x:mergeCell ref="F16:G16"/>
    <x:mergeCell ref="F17:G17"/>
    <x:mergeCell ref="F18:G18"/>
    <x:mergeCell ref="F22:G22"/>
    <x:mergeCell ref="F23:G23"/>
    <x:mergeCell ref="F21:G21"/>
    <x:mergeCell ref="F20:G20"/>
    <x:mergeCell ref="F19:G19"/>
    <x:mergeCell ref="F34:G34"/>
    <x:mergeCell ref="F35:G35"/>
    <x:mergeCell ref="F36:G36"/>
    <x:mergeCell ref="F37:G37"/>
    <x:mergeCell ref="F38:G38"/>
    <x:mergeCell ref="F29:G29"/>
    <x:mergeCell ref="F30:G30"/>
    <x:mergeCell ref="F11:G11"/>
    <x:mergeCell ref="F12:G12"/>
    <x:mergeCell ref="F13:G13"/>
    <x:mergeCell ref="F14:G14"/>
    <x:mergeCell ref="F15:G15"/>
    <x:mergeCell ref="F6:G6"/>
    <x:mergeCell ref="F7:G7"/>
    <x:mergeCell ref="F8:G8"/>
    <x:mergeCell ref="F9:G9"/>
    <x:mergeCell ref="F10:G10"/>
    <x:mergeCell ref="R3:R4"/>
    <x:mergeCell ref="S3:S4"/>
    <x:mergeCell ref="T3:T4"/>
    <x:mergeCell ref="U3:V3"/>
    <x:mergeCell ref="H4:H5"/>
    <x:mergeCell ref="I4:I5"/>
    <x:mergeCell ref="O1:Q1"/>
    <x:mergeCell ref="B3:E4"/>
    <x:mergeCell ref="F3:G5"/>
    <x:mergeCell ref="H3:I3"/>
    <x:mergeCell ref="J3:J5"/>
    <x:mergeCell ref="K3:K4"/>
    <x:mergeCell ref="L3:L4"/>
    <x:mergeCell ref="M3:M4"/>
    <x:mergeCell ref="N3:N4"/>
    <x:mergeCell ref="O3:O4"/>
    <x:mergeCell ref="P3:P4"/>
    <x:mergeCell ref="Q3:Q4"/>
    <x:mergeCell ref="D5:E5"/>
  </x:mergeCells>
  <x:conditionalFormatting sqref="O6:R58">
    <x:cfRule type="cellIs" dxfId="2" priority="4" operator="equal">
      <x:formula>0</x:formula>
    </x:cfRule>
  </x:conditionalFormatting>
  <x:conditionalFormatting sqref="S6:V58">
    <x:cfRule type="colorScale" priority="10">
      <x:colorScale>
        <x:cfvo type="percent" val="0"/>
        <x:cfvo type="max"/>
        <x:color rgb="FFFFFFFF"/>
        <x:color rgb="FF44F300"/>
      </x:colorScale>
    </x:cfRule>
  </x:conditionalFormatting>
  <x:conditionalFormatting sqref="V6:V58">
    <x:cfRule type="colorScale" priority="2">
      <x:colorScale>
        <x:cfvo type="formula" val="-100%"/>
        <x:cfvo type="formula" val="0"/>
        <x:cfvo type="formula" val="100%"/>
        <x:color rgb="FFE06666"/>
        <x:color rgb="FFFFFFFF"/>
        <x:color rgb="FF00FF00"/>
      </x:colorScale>
    </x:cfRule>
  </x:conditionalFormatting>
  <x:conditionalFormatting sqref="W6:AE58">
    <x:cfRule type="expression" dxfId="1" priority="6">
      <x:formula>AND(W$5 &gt;= $M6, W$5 &lt;= $N6, W$5 &lt;=$L$1)</x:formula>
    </x:cfRule>
    <x:cfRule type="expression" dxfId="0" priority="7">
      <x:formula>AND(W$5 &gt;= $K6, W$5 &lt;= $L6)</x:formula>
    </x:cfRule>
  </x:conditionalFormatting>
  <x:dataValidations count="1">
    <x:dataValidation type="custom" allowBlank="1" showDropDown="1" showErrorMessage="1" sqref="J6:N11 K12:N58">
      <x:formula1>OR(NOT(ISERROR(DATEVALUE(J6))), AND(ISNUMBER(J6), LEFT(CELL("format", J6))="D"))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5703125" defaultRowHeight="12.75"/>
  <x:cols>
    <x:col min="1" max="1" width="16.85546875" customWidth="1"/>
  </x:cols>
  <x:sheetData>
    <x:row r="1" ht="15" customHeight="1">
      <x:c r="A1" s="8" t="s">
        <x:v>67</x:v>
      </x:c>
    </x:row>
    <x:row r="2" ht="15" customHeight="1">
      <x:c r="A2" s="9">
        <x:v>46220</x:v>
      </x:c>
      <x:c r="B2" s="10" t="s">
        <x:v>68</x:v>
      </x:c>
    </x:row>
    <x:row r="3" ht="15" customHeight="1">
      <x:c r="A3" s="9"/>
      <x:c r="B3" s="7"/>
    </x:row>
    <x:row r="4" ht="15" customHeight="1">
      <x:c r="A4" s="9"/>
      <x:c r="B4" s="7"/>
    </x:row>
    <x:row r="5" ht="15" customHeight="1">
      <x:c r="A5" s="9"/>
      <x:c r="B5" s="7"/>
    </x:row>
    <x:row r="6" ht="15" customHeight="1">
      <x:c r="A6" s="9"/>
      <x:c r="B6" s="7"/>
    </x:row>
    <x:row r="7" ht="15" customHeight="1">
      <x:c r="A7" s="9"/>
      <x:c r="B7" s="7"/>
    </x:row>
    <x:row r="8" ht="15" customHeight="1">
      <x:c r="A8" s="9"/>
      <x:c r="B8" s="7"/>
    </x:row>
    <x:row r="9" ht="15" customHeight="1">
      <x:c r="A9" s="9"/>
      <x:c r="B9" s="7"/>
    </x:row>
    <x:row r="10" ht="15" customHeight="1">
      <x:c r="A10" s="9"/>
      <x:c r="B10" s="7"/>
    </x:row>
  </x:sheetData>
  <x:pageMargins left="0.7" right="0.7" top="0.75" bottom="0.75" header="0.3" footer="0.3"/>
</x:worksheet>
</file>